
<file path=[Content_Types].xml><?xml version="1.0" encoding="utf-8"?>
<Types xmlns="http://schemas.openxmlformats.org/package/2006/content-types"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7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xfd1675_ox_ac_uk/Documents/"/>
    </mc:Choice>
  </mc:AlternateContent>
  <xr:revisionPtr revIDLastSave="0" documentId="8_{7163466F-E577-4E68-9009-629B9934C519}" xr6:coauthVersionLast="47" xr6:coauthVersionMax="47" xr10:uidLastSave="{00000000-0000-0000-0000-000000000000}"/>
  <bookViews>
    <workbookView xWindow="45640" yWindow="2480" windowWidth="30600" windowHeight="18880" xr2:uid="{5D87D9BE-46B3-744F-AD0F-A345AA161C0D}"/>
    <workbookView xWindow="79520" yWindow="7040" windowWidth="21600" windowHeight="14680" firstSheet="1" activeTab="1" xr2:uid="{9701E62C-47F0-264C-AD08-16105A47692D}"/>
  </bookViews>
  <sheets>
    <sheet name="Dashboard" sheetId="1" r:id="rId1"/>
    <sheet name="Raw_Data" sheetId="2" r:id="rId2"/>
    <sheet name="Descriptives" sheetId="3" r:id="rId3"/>
    <sheet name="Histogram" sheetId="4" r:id="rId4"/>
    <sheet name="Pivot_Tables" sheetId="5" r:id="rId5"/>
    <sheet name="Boxplots" sheetId="6" r:id="rId6"/>
    <sheet name="Linear_Regression" sheetId="7" r:id="rId7"/>
    <sheet name="OR_RR" sheetId="8" r:id="rId8"/>
  </sheets>
  <definedNames>
    <definedName name="_xlchart.v1.0" hidden="1">Raw_Data!$C$2:$C$51</definedName>
    <definedName name="_xlchart.v1.1" hidden="1">Boxplots!$B$12</definedName>
    <definedName name="_xlchart.v1.2" hidden="1">Boxplots!$B$13:$B$34</definedName>
    <definedName name="_xlchart.v1.3" hidden="1">Boxplots!$C$12</definedName>
    <definedName name="_xlchart.v1.4" hidden="1">Boxplots!$C$13:$C$34</definedName>
    <definedName name="_xlchart.v1.5" hidden="1">Boxplots!$D$12</definedName>
    <definedName name="_xlchart.v1.6" hidden="1">Boxplots!$D$13:$D$34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8" l="1"/>
  <c r="G14" i="8"/>
  <c r="I13" i="8"/>
  <c r="G13" i="8"/>
  <c r="I9" i="8"/>
  <c r="J14" i="8"/>
  <c r="C14" i="8"/>
  <c r="C13" i="8"/>
  <c r="A14" i="8"/>
  <c r="A13" i="8"/>
  <c r="C8" i="8"/>
  <c r="B8" i="8"/>
  <c r="C7" i="8"/>
  <c r="B7" i="8"/>
  <c r="B14" i="3"/>
  <c r="B9" i="3"/>
  <c r="B8" i="3"/>
  <c r="B7" i="3"/>
  <c r="B6" i="3"/>
  <c r="B5" i="3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H9" i="8" l="1"/>
  <c r="J9" i="8" s="1"/>
  <c r="J7" i="8"/>
  <c r="H13" i="8" s="1"/>
  <c r="J13" i="8"/>
  <c r="J15" i="8" s="1"/>
  <c r="J8" i="8"/>
  <c r="H14" i="8" s="1"/>
  <c r="D14" i="8"/>
  <c r="D13" i="8"/>
  <c r="D15" i="8" s="1"/>
  <c r="C9" i="8"/>
  <c r="B9" i="8"/>
  <c r="D8" i="8"/>
  <c r="B14" i="8" s="1"/>
  <c r="D7" i="8"/>
  <c r="B13" i="8" s="1"/>
  <c r="D13" i="6" a="1"/>
  <c r="B13" i="6" a="1"/>
  <c r="B13" i="6" s="1"/>
  <c r="C13" i="6" a="1"/>
  <c r="C13" i="6" s="1"/>
  <c r="C41" i="6" s="1"/>
  <c r="H15" i="8" l="1"/>
  <c r="B15" i="8"/>
  <c r="D9" i="8"/>
  <c r="D13" i="6"/>
  <c r="B42" i="6"/>
  <c r="B44" i="6"/>
  <c r="C40" i="6"/>
  <c r="C42" i="6"/>
  <c r="B40" i="6"/>
  <c r="B41" i="6"/>
  <c r="D41" i="6" l="1"/>
  <c r="B45" i="6"/>
  <c r="D42" i="6"/>
  <c r="D40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<sst xmlns="http://schemas.openxmlformats.org/spreadsheetml/2006/main" count="216" uniqueCount="150">
  <si>
    <t>Understanding Springfield</t>
  </si>
  <si>
    <t>Raw Data</t>
  </si>
  <si>
    <t>Descriptives</t>
  </si>
  <si>
    <t>Histogram</t>
  </si>
  <si>
    <t>Pivot tables</t>
  </si>
  <si>
    <t>Boxplots and T-Tests</t>
  </si>
  <si>
    <t>Linear Regression</t>
  </si>
  <si>
    <t xml:space="preserve">OR and RR </t>
  </si>
  <si>
    <t>Character</t>
  </si>
  <si>
    <t>Job_type</t>
  </si>
  <si>
    <t>Sleep_hours</t>
  </si>
  <si>
    <t>Duff_beers</t>
  </si>
  <si>
    <t>Cigarettes_per_day</t>
  </si>
  <si>
    <t>Donuts_per_day</t>
  </si>
  <si>
    <t>Work_ethic</t>
  </si>
  <si>
    <t>Anger_level</t>
  </si>
  <si>
    <t>Productivity_score</t>
  </si>
  <si>
    <t>Fired</t>
  </si>
  <si>
    <t>Fired_time_days</t>
  </si>
  <si>
    <t>Duff_level</t>
  </si>
  <si>
    <t>Homer Simpson</t>
  </si>
  <si>
    <t>Nuclear Plant</t>
  </si>
  <si>
    <t>Marge Simpson</t>
  </si>
  <si>
    <t>Home</t>
  </si>
  <si>
    <t>Bart Simpson</t>
  </si>
  <si>
    <t>Child</t>
  </si>
  <si>
    <t>Lisa Simpson</t>
  </si>
  <si>
    <t>Maggie Simpson</t>
  </si>
  <si>
    <t>Abe Simpson</t>
  </si>
  <si>
    <t>Retirement</t>
  </si>
  <si>
    <t>Mr Burns</t>
  </si>
  <si>
    <t>Smithers</t>
  </si>
  <si>
    <t>Ned Flanders</t>
  </si>
  <si>
    <t>Church</t>
  </si>
  <si>
    <t>Maude Flanders</t>
  </si>
  <si>
    <t>Rod Flanders</t>
  </si>
  <si>
    <t>Todd Flanders</t>
  </si>
  <si>
    <t>Milhouse Van Houten</t>
  </si>
  <si>
    <t>Nelson Muntz</t>
  </si>
  <si>
    <t>Ralph Wiggum</t>
  </si>
  <si>
    <t>Apu Nahasapeemapetilon</t>
  </si>
  <si>
    <t>Retail</t>
  </si>
  <si>
    <t>Moe Szyslak</t>
  </si>
  <si>
    <t>Tavern</t>
  </si>
  <si>
    <t>Barney Gumble</t>
  </si>
  <si>
    <t>Krusty the Clown</t>
  </si>
  <si>
    <t>Entertainment</t>
  </si>
  <si>
    <t>Chief Wiggum</t>
  </si>
  <si>
    <t>Police</t>
  </si>
  <si>
    <t>Dr Hibbert</t>
  </si>
  <si>
    <t>Medical</t>
  </si>
  <si>
    <t>Principal Skinner</t>
  </si>
  <si>
    <t>School</t>
  </si>
  <si>
    <t>Edna Krabappel</t>
  </si>
  <si>
    <t>Comic Book Guy</t>
  </si>
  <si>
    <t>Groundskeeper Willie</t>
  </si>
  <si>
    <t>Reverend Lovejoy</t>
  </si>
  <si>
    <t>Patty Bouvier</t>
  </si>
  <si>
    <t>Government</t>
  </si>
  <si>
    <t>Selma Bouvier</t>
  </si>
  <si>
    <t>Sideshow Bob</t>
  </si>
  <si>
    <t>Troy McClure</t>
  </si>
  <si>
    <t>Lenny Leonard</t>
  </si>
  <si>
    <t>Carl Carlson</t>
  </si>
  <si>
    <t>Otto Mann</t>
  </si>
  <si>
    <t>Transport</t>
  </si>
  <si>
    <t>Disco Stu</t>
  </si>
  <si>
    <t>Snake Jailbird</t>
  </si>
  <si>
    <t>Unemployed</t>
  </si>
  <si>
    <t>Kent Brockman</t>
  </si>
  <si>
    <t>Media</t>
  </si>
  <si>
    <t>Dr Nick Riviera</t>
  </si>
  <si>
    <t>Agnes Skinner</t>
  </si>
  <si>
    <t>Helen Lovejoy</t>
  </si>
  <si>
    <t>Cletus Spuckler</t>
  </si>
  <si>
    <t>Agriculture</t>
  </si>
  <si>
    <t>Brandine Spuckler</t>
  </si>
  <si>
    <t>Jasper Beardly</t>
  </si>
  <si>
    <t>Kirk Van Houten</t>
  </si>
  <si>
    <t>Luann Van Houten</t>
  </si>
  <si>
    <t>Gil Gunderson</t>
  </si>
  <si>
    <t>Sales</t>
  </si>
  <si>
    <t>Hans Moleman</t>
  </si>
  <si>
    <t>Rainier Wolfcastle</t>
  </si>
  <si>
    <t>Mayor Quimby</t>
  </si>
  <si>
    <t>Lionel Hutz</t>
  </si>
  <si>
    <t>Law</t>
  </si>
  <si>
    <t>Martin Prince</t>
  </si>
  <si>
    <t xml:space="preserve">What do some of these behaviours in Springfield look like? </t>
  </si>
  <si>
    <t>Look at the formulae in the filled cells. 
Try to complete the rest.</t>
  </si>
  <si>
    <t>Some Descriptives</t>
  </si>
  <si>
    <t>Mean</t>
  </si>
  <si>
    <t>Median</t>
  </si>
  <si>
    <t>SD</t>
  </si>
  <si>
    <t>Min</t>
  </si>
  <si>
    <t>Max</t>
  </si>
  <si>
    <t>Correlations</t>
  </si>
  <si>
    <t>Duff v Cigarettes</t>
  </si>
  <si>
    <t>Duff v Sleep</t>
  </si>
  <si>
    <t xml:space="preserve">ToolPak </t>
  </si>
  <si>
    <t>Data → Data Analysis → Descriptive Statistics</t>
  </si>
  <si>
    <t>Tick Summary statistics</t>
  </si>
  <si>
    <t>How are some of these behaviours distributed?</t>
  </si>
  <si>
    <t>1. Insert &gt; chart &gt; histogram.</t>
  </si>
  <si>
    <t>2. Select data &gt; any column in raw_data.</t>
  </si>
  <si>
    <t>3. Set the bin width.</t>
  </si>
  <si>
    <t>4. Explore formatting options.</t>
  </si>
  <si>
    <t>5. Describe the shape.</t>
  </si>
  <si>
    <t>How to quickly compare groups?</t>
  </si>
  <si>
    <t>1. Create a Smoker_Level column in the raw data (see how Duff_level was made).</t>
  </si>
  <si>
    <t>2. Insert a pivot table (this will create a new worksheet…that is okay).</t>
  </si>
  <si>
    <r>
      <t xml:space="preserve">3. Set a categorical variable as a </t>
    </r>
    <r>
      <rPr>
        <b/>
        <sz val="12"/>
        <color theme="1"/>
        <rFont val="Aptos Narrow"/>
        <scheme val="minor"/>
      </rPr>
      <t>group</t>
    </r>
    <r>
      <rPr>
        <sz val="12"/>
        <color theme="1"/>
        <rFont val="Aptos Narrow"/>
        <family val="2"/>
        <scheme val="minor"/>
      </rPr>
      <t>.</t>
    </r>
  </si>
  <si>
    <r>
      <t xml:space="preserve">4. Set a continuous variable as </t>
    </r>
    <r>
      <rPr>
        <b/>
        <sz val="12"/>
        <color theme="1"/>
        <rFont val="Aptos Narrow"/>
        <scheme val="minor"/>
      </rPr>
      <t>values</t>
    </r>
    <r>
      <rPr>
        <sz val="12"/>
        <color theme="1"/>
        <rFont val="Aptos Narrow"/>
        <family val="2"/>
        <scheme val="minor"/>
      </rPr>
      <t xml:space="preserve"> = average Productivity, average Sleep, average Duff.</t>
    </r>
  </si>
  <si>
    <t>5. Explore.</t>
  </si>
  <si>
    <t>Do these behaviour subgroups show different levels of productivity?</t>
  </si>
  <si>
    <t>1. Use the filter function to bring in productivity values by each category (example below).</t>
  </si>
  <si>
    <t>2. Highlight &gt; insert &gt; charts &gt; boxplot</t>
  </si>
  <si>
    <t>3. Explore formatting options</t>
  </si>
  <si>
    <t>3. Make a summary table.</t>
  </si>
  <si>
    <t>Duff: High</t>
  </si>
  <si>
    <t>Duff: Moderate</t>
  </si>
  <si>
    <t>Duff: Low</t>
  </si>
  <si>
    <t>Cat 1</t>
  </si>
  <si>
    <t xml:space="preserve">Cat 2 </t>
  </si>
  <si>
    <t>Cat 3</t>
  </si>
  <si>
    <t>Summary</t>
  </si>
  <si>
    <t>Metric</t>
  </si>
  <si>
    <t>T-Test High v Mod</t>
  </si>
  <si>
    <t>T-Test Mod  v Low</t>
  </si>
  <si>
    <t>Cat 2</t>
  </si>
  <si>
    <t xml:space="preserve">How are these behaviours associated with productivity? </t>
  </si>
  <si>
    <t>1. Insert &gt; chart &gt; scatter.</t>
  </si>
  <si>
    <t>2. Select data &gt; choose variables from raw_data (hold cmd/ctrl to select non-adjacent columns).</t>
  </si>
  <si>
    <t>3. Add a trendline (chart elements). Use slope, intercept and Rsq to summarise the line.</t>
  </si>
  <si>
    <t>Data → Data Analysis → Regressions</t>
  </si>
  <si>
    <t>Select Y, then all for X (need to be contiguous)</t>
  </si>
  <si>
    <t>What are the risks, and odds, of getting fired?</t>
  </si>
  <si>
    <t>Look at the formulae in the filled cells. Try to compile your own 2x2.</t>
  </si>
  <si>
    <t>Group</t>
  </si>
  <si>
    <t>Not Fired</t>
  </si>
  <si>
    <t>Total</t>
  </si>
  <si>
    <t>Outcome</t>
  </si>
  <si>
    <t>Not</t>
  </si>
  <si>
    <t>Duff &gt;=3</t>
  </si>
  <si>
    <t>Category</t>
  </si>
  <si>
    <t>Other</t>
  </si>
  <si>
    <t>Risks</t>
  </si>
  <si>
    <t>Odds</t>
  </si>
  <si>
    <t>RR</t>
  </si>
  <si>
    <t>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</si>
</sst>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20"/>
      <color theme="1"/>
      <name val="Aptos Narrow"/>
      <family val="2"/>
      <scheme val="minor"/>
    </font>
    <font>
      <u/>
      <sz val="20"/>
      <color theme="10"/>
      <name val="Aptos Narrow"/>
      <family val="2"/>
      <scheme val="minor"/>
    </font>
    <font>
      <sz val="20"/>
      <color rgb="FFFF0000"/>
      <name val="Aptos Narrow"/>
      <family val="2"/>
      <scheme val="minor"/>
    </font>
    <font>
      <sz val="28"/>
      <color rgb="FFC00000"/>
      <name val="Aptos Narrow"/>
      <family val="2"/>
      <scheme val="minor"/>
    </font>
    <font>
      <b/>
      <sz val="14"/>
      <color theme="1"/>
      <name val="Aptos Narrow"/>
      <scheme val="minor"/>
    </font>
    <font>
      <sz val="20"/>
      <color rgb="FFC00000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b/>
      <sz val="14"/>
      <color theme="1"/>
      <name val="Aptos Narrow"/>
      <family val="2"/>
      <scheme val="minor"/>
    </font>
    <font>
      <b/>
      <i/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0" applyFont="1"/>
    <xf numFmtId="0" fontId="3" fillId="0" borderId="0" xfId="1" applyFont="1"/>
    <xf numFmtId="0" fontId="2" fillId="3" borderId="0" xfId="0" applyFont="1" applyFill="1"/>
    <xf numFmtId="0" fontId="4" fillId="3" borderId="0" xfId="0" applyFont="1" applyFill="1"/>
    <xf numFmtId="0" fontId="5" fillId="3" borderId="0" xfId="0" applyFont="1" applyFill="1"/>
    <xf numFmtId="0" fontId="6" fillId="0" borderId="0" xfId="0" applyFont="1"/>
    <xf numFmtId="0" fontId="6" fillId="2" borderId="0" xfId="0" applyFont="1" applyFill="1"/>
    <xf numFmtId="0" fontId="7" fillId="3" borderId="0" xfId="0" applyFont="1" applyFill="1"/>
    <xf numFmtId="0" fontId="8" fillId="0" borderId="0" xfId="0" applyFont="1"/>
    <xf numFmtId="0" fontId="9" fillId="0" borderId="0" xfId="0" applyFont="1"/>
    <xf numFmtId="0" fontId="9" fillId="2" borderId="1" xfId="0" applyFont="1" applyFill="1" applyBorder="1"/>
    <xf numFmtId="0" fontId="0" fillId="0" borderId="1" xfId="0" applyBorder="1"/>
    <xf numFmtId="0" fontId="0" fillId="0" borderId="0" xfId="0" applyAlignment="1">
      <alignment vertical="center"/>
    </xf>
    <xf numFmtId="0" fontId="0" fillId="2" borderId="1" xfId="0" applyFill="1" applyBorder="1"/>
    <xf numFmtId="0" fontId="10" fillId="2" borderId="0" xfId="0" applyFont="1" applyFill="1"/>
    <xf numFmtId="0" fontId="9" fillId="2" borderId="1" xfId="0" applyFont="1" applyFill="1" applyBorder="1" applyAlignment="1">
      <alignment horizontal="right"/>
    </xf>
    <xf numFmtId="0" fontId="8" fillId="4" borderId="6" xfId="0" applyFont="1" applyFill="1" applyBorder="1"/>
    <xf numFmtId="0" fontId="0" fillId="4" borderId="7" xfId="0" applyFill="1" applyBorder="1"/>
    <xf numFmtId="0" fontId="0" fillId="4" borderId="8" xfId="0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right"/>
    </xf>
    <xf numFmtId="0" fontId="0" fillId="5" borderId="1" xfId="0" applyFill="1" applyBorder="1"/>
    <xf numFmtId="0" fontId="0" fillId="2" borderId="1" xfId="0" applyFill="1" applyBorder="1" applyAlignment="1">
      <alignment horizontal="right"/>
    </xf>
    <xf numFmtId="0" fontId="8" fillId="4" borderId="2" xfId="0" applyFont="1" applyFill="1" applyBorder="1"/>
    <xf numFmtId="0" fontId="0" fillId="4" borderId="9" xfId="0" applyFill="1" applyBorder="1"/>
    <xf numFmtId="0" fontId="0" fillId="4" borderId="3" xfId="0" applyFill="1" applyBorder="1"/>
    <xf numFmtId="0" fontId="0" fillId="4" borderId="10" xfId="0" applyFill="1" applyBorder="1"/>
    <xf numFmtId="0" fontId="0" fillId="4" borderId="0" xfId="0" applyFill="1"/>
    <xf numFmtId="0" fontId="0" fillId="4" borderId="11" xfId="0" applyFill="1" applyBorder="1"/>
    <xf numFmtId="0" fontId="0" fillId="4" borderId="4" xfId="0" applyFill="1" applyBorder="1"/>
    <xf numFmtId="0" fontId="0" fillId="4" borderId="12" xfId="0" applyFill="1" applyBorder="1"/>
    <xf numFmtId="0" fontId="0" fillId="4" borderId="5" xfId="0" applyFill="1" applyBorder="1"/>
    <xf numFmtId="0" fontId="0" fillId="6" borderId="1" xfId="0" applyFill="1" applyBorder="1"/>
    <xf numFmtId="0" fontId="11" fillId="2" borderId="1" xfId="0" applyFont="1" applyFill="1" applyBorder="1"/>
    <xf numFmtId="0" fontId="0" fillId="4" borderId="1" xfId="0" applyFill="1" applyBorder="1"/>
    <xf numFmtId="0" fontId="11" fillId="2" borderId="1" xfId="0" applyFont="1" applyFill="1" applyBorder="1" applyAlignment="1">
      <alignment horizontal="right"/>
    </xf>
    <xf numFmtId="0" fontId="11" fillId="4" borderId="1" xfId="0" applyFont="1" applyFill="1" applyBorder="1"/>
    <xf numFmtId="0" fontId="11" fillId="5" borderId="1" xfId="0" applyFont="1" applyFill="1" applyBorder="1"/>
    <xf numFmtId="164" fontId="0" fillId="0" borderId="1" xfId="0" applyNumberFormat="1" applyBorder="1"/>
    <xf numFmtId="164" fontId="0" fillId="5" borderId="1" xfId="0" applyNumberFormat="1" applyFill="1" applyBorder="1"/>
  </cellXfs>
  <cellStyles count="2">
    <cellStyle name="Hyperlink" xfId="1" builtinId="8"/>
    <cellStyle name="Normal" xfId="0" builtinId="0"/>
  </cellStyles>
  <dxfs count="2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fill>
        <patternFill patternType="solid">
          <fgColor indexed="64"/>
          <bgColor theme="3" tint="0.8999908444471571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Doughnut Consumption vs Productivity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Raw_Data!$I$1</c:f>
              <c:strCache>
                <c:ptCount val="1"/>
                <c:pt idx="0">
                  <c:v>Productivity_score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C0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Raw_Data!$F$2:$F$51</c:f>
              <c:numCache>
                <c:formatCode>General</c:formatCode>
                <c:ptCount val="50"/>
                <c:pt idx="0">
                  <c:v>8</c:v>
                </c:pt>
                <c:pt idx="1">
                  <c:v>0</c:v>
                </c:pt>
                <c:pt idx="2">
                  <c:v>9</c:v>
                </c:pt>
                <c:pt idx="3">
                  <c:v>2</c:v>
                </c:pt>
                <c:pt idx="4">
                  <c:v>0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4</c:v>
                </c:pt>
                <c:pt idx="13">
                  <c:v>7</c:v>
                </c:pt>
                <c:pt idx="14">
                  <c:v>3</c:v>
                </c:pt>
                <c:pt idx="15">
                  <c:v>0</c:v>
                </c:pt>
                <c:pt idx="16">
                  <c:v>4</c:v>
                </c:pt>
                <c:pt idx="17">
                  <c:v>7</c:v>
                </c:pt>
                <c:pt idx="18">
                  <c:v>2</c:v>
                </c:pt>
                <c:pt idx="19">
                  <c:v>4</c:v>
                </c:pt>
                <c:pt idx="20">
                  <c:v>1</c:v>
                </c:pt>
                <c:pt idx="21">
                  <c:v>2</c:v>
                </c:pt>
                <c:pt idx="22">
                  <c:v>0</c:v>
                </c:pt>
                <c:pt idx="23">
                  <c:v>4</c:v>
                </c:pt>
                <c:pt idx="24">
                  <c:v>4</c:v>
                </c:pt>
                <c:pt idx="25">
                  <c:v>2</c:v>
                </c:pt>
                <c:pt idx="26">
                  <c:v>2</c:v>
                </c:pt>
                <c:pt idx="27">
                  <c:v>3</c:v>
                </c:pt>
                <c:pt idx="28">
                  <c:v>1</c:v>
                </c:pt>
                <c:pt idx="29">
                  <c:v>0</c:v>
                </c:pt>
                <c:pt idx="30">
                  <c:v>4</c:v>
                </c:pt>
                <c:pt idx="31">
                  <c:v>3</c:v>
                </c:pt>
                <c:pt idx="32">
                  <c:v>7</c:v>
                </c:pt>
                <c:pt idx="33">
                  <c:v>8</c:v>
                </c:pt>
                <c:pt idx="34">
                  <c:v>7</c:v>
                </c:pt>
                <c:pt idx="35">
                  <c:v>2</c:v>
                </c:pt>
                <c:pt idx="36">
                  <c:v>4</c:v>
                </c:pt>
                <c:pt idx="37">
                  <c:v>4</c:v>
                </c:pt>
                <c:pt idx="38">
                  <c:v>2</c:v>
                </c:pt>
                <c:pt idx="39">
                  <c:v>6</c:v>
                </c:pt>
                <c:pt idx="40">
                  <c:v>6</c:v>
                </c:pt>
                <c:pt idx="41">
                  <c:v>2</c:v>
                </c:pt>
                <c:pt idx="42">
                  <c:v>5</c:v>
                </c:pt>
                <c:pt idx="43">
                  <c:v>2</c:v>
                </c:pt>
                <c:pt idx="44">
                  <c:v>11</c:v>
                </c:pt>
                <c:pt idx="45">
                  <c:v>5</c:v>
                </c:pt>
                <c:pt idx="46">
                  <c:v>1</c:v>
                </c:pt>
                <c:pt idx="47">
                  <c:v>3</c:v>
                </c:pt>
                <c:pt idx="48">
                  <c:v>11</c:v>
                </c:pt>
                <c:pt idx="49">
                  <c:v>1</c:v>
                </c:pt>
              </c:numCache>
            </c:numRef>
          </c:xVal>
          <c:yVal>
            <c:numRef>
              <c:f>Raw_Data!$I$2:$I$51</c:f>
              <c:numCache>
                <c:formatCode>General</c:formatCode>
                <c:ptCount val="50"/>
                <c:pt idx="0">
                  <c:v>30</c:v>
                </c:pt>
                <c:pt idx="1">
                  <c:v>83</c:v>
                </c:pt>
                <c:pt idx="2">
                  <c:v>36</c:v>
                </c:pt>
                <c:pt idx="3">
                  <c:v>97</c:v>
                </c:pt>
                <c:pt idx="4">
                  <c:v>98</c:v>
                </c:pt>
                <c:pt idx="5">
                  <c:v>55</c:v>
                </c:pt>
                <c:pt idx="6">
                  <c:v>63</c:v>
                </c:pt>
                <c:pt idx="7">
                  <c:v>91</c:v>
                </c:pt>
                <c:pt idx="8">
                  <c:v>98</c:v>
                </c:pt>
                <c:pt idx="9">
                  <c:v>84</c:v>
                </c:pt>
                <c:pt idx="10">
                  <c:v>85</c:v>
                </c:pt>
                <c:pt idx="11">
                  <c:v>82</c:v>
                </c:pt>
                <c:pt idx="12">
                  <c:v>61</c:v>
                </c:pt>
                <c:pt idx="13">
                  <c:v>31</c:v>
                </c:pt>
                <c:pt idx="14">
                  <c:v>36</c:v>
                </c:pt>
                <c:pt idx="15">
                  <c:v>89</c:v>
                </c:pt>
                <c:pt idx="16">
                  <c:v>30</c:v>
                </c:pt>
                <c:pt idx="17">
                  <c:v>34</c:v>
                </c:pt>
                <c:pt idx="18">
                  <c:v>60</c:v>
                </c:pt>
                <c:pt idx="19">
                  <c:v>27</c:v>
                </c:pt>
                <c:pt idx="20">
                  <c:v>96</c:v>
                </c:pt>
                <c:pt idx="21">
                  <c:v>97</c:v>
                </c:pt>
                <c:pt idx="22">
                  <c:v>91</c:v>
                </c:pt>
                <c:pt idx="23">
                  <c:v>69</c:v>
                </c:pt>
                <c:pt idx="24">
                  <c:v>67</c:v>
                </c:pt>
                <c:pt idx="25">
                  <c:v>89</c:v>
                </c:pt>
                <c:pt idx="26">
                  <c:v>61</c:v>
                </c:pt>
                <c:pt idx="27">
                  <c:v>59</c:v>
                </c:pt>
                <c:pt idx="28">
                  <c:v>67</c:v>
                </c:pt>
                <c:pt idx="29">
                  <c:v>91</c:v>
                </c:pt>
                <c:pt idx="30">
                  <c:v>65</c:v>
                </c:pt>
                <c:pt idx="31">
                  <c:v>62</c:v>
                </c:pt>
                <c:pt idx="32">
                  <c:v>30</c:v>
                </c:pt>
                <c:pt idx="33">
                  <c:v>54</c:v>
                </c:pt>
                <c:pt idx="34">
                  <c:v>30</c:v>
                </c:pt>
                <c:pt idx="35">
                  <c:v>93</c:v>
                </c:pt>
                <c:pt idx="36">
                  <c:v>80</c:v>
                </c:pt>
                <c:pt idx="37">
                  <c:v>55</c:v>
                </c:pt>
                <c:pt idx="38">
                  <c:v>95</c:v>
                </c:pt>
                <c:pt idx="39">
                  <c:v>35</c:v>
                </c:pt>
                <c:pt idx="40">
                  <c:v>31</c:v>
                </c:pt>
                <c:pt idx="41">
                  <c:v>62</c:v>
                </c:pt>
                <c:pt idx="42">
                  <c:v>30</c:v>
                </c:pt>
                <c:pt idx="43">
                  <c:v>62</c:v>
                </c:pt>
                <c:pt idx="44">
                  <c:v>45</c:v>
                </c:pt>
                <c:pt idx="45">
                  <c:v>65</c:v>
                </c:pt>
                <c:pt idx="46">
                  <c:v>92</c:v>
                </c:pt>
                <c:pt idx="47">
                  <c:v>66</c:v>
                </c:pt>
                <c:pt idx="48">
                  <c:v>29</c:v>
                </c:pt>
                <c:pt idx="49">
                  <c:v>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D5-854B-8160-23CC0AA45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2333951"/>
        <c:axId val="106317120"/>
      </c:scatterChart>
      <c:valAx>
        <c:axId val="2032333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Doughnuts per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17120"/>
        <c:crosses val="autoZero"/>
        <c:crossBetween val="midCat"/>
      </c:valAx>
      <c:valAx>
        <c:axId val="10631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Productivity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333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Frequency Distribution of Sleep (hours per night)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Frequency Distribution of Sleep (hours per night)</a:t>
          </a:r>
        </a:p>
      </cx:txPr>
    </cx:title>
    <cx:plotArea>
      <cx:plotAreaRegion>
        <cx:series layoutId="clusteredColumn" uniqueId="{71626DB6-B1C2-4B4D-9EE3-BB03BAE32669}">
          <cx:tx>
            <cx:txData>
              <cx:f/>
              <cx:v/>
            </cx:txData>
          </cx:tx>
          <cx:dataId val="0"/>
          <cx:layoutPr>
            <cx:binning intervalClosed="r">
              <cx:binSize val="1"/>
            </cx:binning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  <cx:data id="1">
      <cx:numDim type="val">
        <cx:f>_xlchart.v1.4</cx:f>
      </cx:numDim>
    </cx:data>
    <cx:data id="2">
      <cx:numDim type="val">
        <cx:f>_xlchart.v1.6</cx:f>
      </cx:numDim>
    </cx:data>
  </cx:chartData>
  <cx:chart>
    <cx:title pos="t" align="ctr" overlay="0">
      <cx:tx>
        <cx:txData>
          <cx:v>Box Plot of Productivity by Duff Levels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Box Plot of Productivity by Duff Levels</a:t>
          </a:r>
        </a:p>
      </cx:txPr>
    </cx:title>
    <cx:plotArea>
      <cx:plotAreaRegion>
        <cx:series layoutId="boxWhisker" uniqueId="{1FD3024D-2376-EC4A-AA0F-2010626B8997}">
          <cx:tx>
            <cx:txData>
              <cx:f>_xlchart.v1.1</cx:f>
              <cx:v>Duff: High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FC6AFA58-3094-134C-947E-9CD44B723CE7}">
          <cx:tx>
            <cx:txData>
              <cx:f>_xlchart.v1.3</cx:f>
              <cx:v>Duff: Moderate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265CD679-BCAD-FB4F-A876-7FFC5DBCBB90}">
          <cx:tx>
            <cx:txData>
              <cx:f>_xlchart.v1.5</cx:f>
              <cx:v>Duff: Low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5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330199</xdr:colOff>
      <xdr:row>1</xdr:row>
      <xdr:rowOff>1257299</xdr:rowOff>
    </xdr:from>
    <xdr:to>
      <xdr:col>17</xdr:col>
      <xdr:colOff>406400</xdr:colOff>
      <xdr:row>12</xdr:row>
      <xdr:rowOff>154704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ADD4B5-5EE5-EC89-8060-C5F20772A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59699" y="1727199"/>
          <a:ext cx="6680201" cy="37488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190500</xdr:colOff>
      <xdr:row>1</xdr:row>
      <xdr:rowOff>190499</xdr:rowOff>
    </xdr:from>
    <xdr:to>
      <xdr:col>15</xdr:col>
      <xdr:colOff>520700</xdr:colOff>
      <xdr:row>16</xdr:row>
      <xdr:rowOff>152399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FA5A72-EB24-B104-80AE-2AEBB9906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36200" y="533399"/>
          <a:ext cx="5283200" cy="396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14</xdr:row>
      <xdr:rowOff>127000</xdr:rowOff>
    </xdr:from>
    <xdr:to>
      <xdr:col>5</xdr:col>
      <xdr:colOff>806450</xdr:colOff>
      <xdr:row>28</xdr:row>
      <xdr:rowOff>25400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6AB80A1D-ACA9-C070-1B64-7C36E7548D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25400</xdr:colOff>
      <xdr:row>1</xdr:row>
      <xdr:rowOff>180339</xdr:rowOff>
    </xdr:from>
    <xdr:to>
      <xdr:col>19</xdr:col>
      <xdr:colOff>558800</xdr:colOff>
      <xdr:row>17</xdr:row>
      <xdr:rowOff>12699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577A7D2-DC7E-4AF0-FD8E-4BB686FD3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6900" y="523239"/>
          <a:ext cx="5486400" cy="3083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377046</xdr:colOff>
      <xdr:row>1</xdr:row>
      <xdr:rowOff>152400</xdr:rowOff>
    </xdr:from>
    <xdr:to>
      <xdr:col>17</xdr:col>
      <xdr:colOff>403119</xdr:colOff>
      <xdr:row>15</xdr:row>
      <xdr:rowOff>127000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0830FC-C0DD-93D0-0EA4-5772551E5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7546" y="495300"/>
          <a:ext cx="4979073" cy="281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139700</xdr:colOff>
      <xdr:row>2</xdr:row>
      <xdr:rowOff>152495</xdr:rowOff>
    </xdr:from>
    <xdr:to>
      <xdr:col>21</xdr:col>
      <xdr:colOff>210460</xdr:colOff>
      <xdr:row>16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5C0FBF-F433-CDBA-61EA-14E3D35B8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06700" y="698595"/>
          <a:ext cx="5023760" cy="2844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438150</xdr:colOff>
      <xdr:row>47</xdr:row>
      <xdr:rowOff>76200</xdr:rowOff>
    </xdr:from>
    <xdr:to>
      <xdr:col>5</xdr:col>
      <xdr:colOff>279400</xdr:colOff>
      <xdr:row>64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6FF2A69-8F4C-AC49-533F-138FCCF743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390878</xdr:colOff>
      <xdr:row>2</xdr:row>
      <xdr:rowOff>12700</xdr:rowOff>
    </xdr:from>
    <xdr:to>
      <xdr:col>22</xdr:col>
      <xdr:colOff>482600</xdr:colOff>
      <xdr:row>18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2078A2-9F67-C9D2-9F07-9A3FB76F5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73378" y="558800"/>
          <a:ext cx="5870222" cy="330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120650</xdr:colOff>
      <xdr:row>10</xdr:row>
      <xdr:rowOff>190500</xdr:rowOff>
    </xdr:from>
    <xdr:to>
      <xdr:col>7</xdr:col>
      <xdr:colOff>546100</xdr:colOff>
      <xdr:row>31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35783D-0CB0-1737-2CFF-CB2AE0BA63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196754</xdr:colOff>
      <xdr:row>1</xdr:row>
      <xdr:rowOff>236230</xdr:rowOff>
    </xdr:from>
    <xdr:to>
      <xdr:col>20</xdr:col>
      <xdr:colOff>698500</xdr:colOff>
      <xdr:row>16</xdr:row>
      <xdr:rowOff>88899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875120-A12B-C965-D5DE-0150BF0C0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53754" y="579130"/>
          <a:ext cx="5454746" cy="3065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8BE536-3DF6-0044-AC89-AA82DD20A504}" name="SpringfieldData" displayName="SpringfieldData" ref="A1:L51" totalsRowShown="0" headerRowDxfId="1">
  <autoFilter ref="A1:L51" xr:uid="{F98BE536-3DF6-0044-AC89-AA82DD20A504}"/>
  <tableColumns count="12">
    <tableColumn id="1" xr3:uid="{2AC07579-2517-8B4A-9E04-CEC0EDB60BFC}" name="Character"/>
    <tableColumn id="2" xr3:uid="{7D15EAE3-515F-DC4F-A078-18F76BF34D77}" name="Job_type"/>
    <tableColumn id="3" xr3:uid="{45C64F1A-C4BC-3D44-AADA-1EB8E614A5F1}" name="Sleep_hours"/>
    <tableColumn id="4" xr3:uid="{9167403D-8DBE-7746-81B5-185AF7BA007C}" name="Duff_beers"/>
    <tableColumn id="5" xr3:uid="{46154B57-00F4-3A4C-A8CF-2CA28B7953F9}" name="Cigarettes_per_day"/>
    <tableColumn id="6" xr3:uid="{1F73EDAF-EBB5-4241-ABD1-D5A7FBA6C781}" name="Donuts_per_day"/>
    <tableColumn id="7" xr3:uid="{8E5B92E0-1D98-7049-B7B4-30F659C1FE54}" name="Work_ethic"/>
    <tableColumn id="8" xr3:uid="{5EE9F145-4484-2245-BB13-BA26CF3C7D5C}" name="Anger_level"/>
    <tableColumn id="9" xr3:uid="{B0829BB0-6C8A-5C44-8517-B504322B6184}" name="Productivity_score"/>
    <tableColumn id="10" xr3:uid="{DAC330F4-ED68-E143-83A4-ABEF557F7479}" name="Fired"/>
    <tableColumn id="11" xr3:uid="{00F78A7F-6913-144C-92AB-666EBE22E182}" name="Fired_time_days"/>
    <tableColumn id="12" xr3:uid="{E07F0A89-D3F2-C141-A70B-BE80B7017EEC}" name="Duff_level" dataDxfId="0">
      <calculatedColumnFormula>IF(SpringfieldData[[#This Row],[Duff_beers]]&lt;=1,"Low",IF(SpringfieldData[[#This Row],[Duff_beers]]&lt;=6,"Moderate","High"))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1FED2-9815-0A4A-99A9-E5C2945168B3}">
  <dimension ref="A1:R9"/>
  <sheetViews>
    <sheetView showGridLines="0" tabSelected="1" workbookViewId="0">
      <selection activeCell="E6" sqref="E6"/>
    </sheetView>
    <sheetView workbookViewId="1"/>
  </sheetViews>
  <sheetFormatPr defaultColWidth="10.875" defaultRowHeight="27"/>
  <cols>
    <col min="1" max="16384" width="10.875" style="1"/>
  </cols>
  <sheetData>
    <row r="1" spans="1:18" s="3" customFormat="1" ht="36.950000000000003">
      <c r="A1" s="5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111.95" customHeight="1"/>
    <row r="3" spans="1:18">
      <c r="A3" s="2" t="s">
        <v>1</v>
      </c>
    </row>
    <row r="4" spans="1:18">
      <c r="A4" s="2" t="s">
        <v>2</v>
      </c>
    </row>
    <row r="5" spans="1:18">
      <c r="A5" s="2" t="s">
        <v>3</v>
      </c>
    </row>
    <row r="6" spans="1:18">
      <c r="A6" s="2" t="s">
        <v>4</v>
      </c>
    </row>
    <row r="7" spans="1:18">
      <c r="A7" s="2" t="s">
        <v>5</v>
      </c>
    </row>
    <row r="8" spans="1:18">
      <c r="A8" s="2" t="s">
        <v>6</v>
      </c>
    </row>
    <row r="9" spans="1:18">
      <c r="A9" s="2" t="s">
        <v>7</v>
      </c>
    </row>
  </sheetData>
  <hyperlinks>
    <hyperlink ref="A3" location="Raw_Data!A1" display="Raw Data" xr:uid="{0757652C-F98E-DD4C-8E2D-7BAE5BE7059D}"/>
    <hyperlink ref="A4" location="Descriptives!A1" display="Descriptives" xr:uid="{C5AB0C55-B958-AE4C-B619-265D17C2F392}"/>
    <hyperlink ref="A5" location="Histogram!A1" display="Histogram" xr:uid="{DC994258-9489-0B42-8ADC-A394B1E290B0}"/>
    <hyperlink ref="A6" location="Pivot_Tables!A1" display="Pivot tables" xr:uid="{EC89DCBA-DE40-FC48-B437-16A89E60F891}"/>
    <hyperlink ref="A7" location="Boxplots!A1" display="Boxplots and T-Tests" xr:uid="{F761C3D8-FBAF-0A45-9C6C-9B0B8F71EB94}"/>
    <hyperlink ref="A8" location="Linear_Regression!A1" display="Linear Regression" xr:uid="{3633F1BB-C443-3D49-8213-8B3A0A8860D4}"/>
    <hyperlink ref="A9" location="OR_RR!A1" display="OR and RR " xr:uid="{276C5CB2-B7E5-DF48-B30A-76A98678BDB6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8DC81-AC78-F14A-B5B5-8566B83EC5D4}">
  <dimension ref="A1:L51"/>
  <sheetViews>
    <sheetView workbookViewId="0">
      <selection activeCell="P8" sqref="P8"/>
    </sheetView>
    <sheetView tabSelected="1" zoomScale="80" zoomScaleNormal="80" workbookViewId="1">
      <selection activeCell="I18" sqref="I18"/>
    </sheetView>
  </sheetViews>
  <sheetFormatPr defaultColWidth="11" defaultRowHeight="15.95"/>
  <cols>
    <col min="1" max="1" width="22.125" bestFit="1" customWidth="1"/>
    <col min="2" max="12" width="15.875" customWidth="1"/>
  </cols>
  <sheetData>
    <row r="1" spans="1:12" s="6" customFormat="1" ht="18.95">
      <c r="A1" s="7" t="s">
        <v>8</v>
      </c>
      <c r="B1" s="7" t="s">
        <v>9</v>
      </c>
      <c r="C1" s="7" t="s">
        <v>10</v>
      </c>
      <c r="D1" s="7" t="s">
        <v>11</v>
      </c>
      <c r="E1" s="7" t="s">
        <v>12</v>
      </c>
      <c r="F1" s="7" t="s">
        <v>13</v>
      </c>
      <c r="G1" s="7" t="s">
        <v>14</v>
      </c>
      <c r="H1" s="7" t="s">
        <v>15</v>
      </c>
      <c r="I1" s="7" t="s">
        <v>16</v>
      </c>
      <c r="J1" s="7" t="s">
        <v>17</v>
      </c>
      <c r="K1" s="7" t="s">
        <v>18</v>
      </c>
      <c r="L1" s="15" t="s">
        <v>19</v>
      </c>
    </row>
    <row r="2" spans="1:12">
      <c r="A2" t="s">
        <v>20</v>
      </c>
      <c r="B2" t="s">
        <v>21</v>
      </c>
      <c r="C2">
        <v>4</v>
      </c>
      <c r="D2">
        <v>7</v>
      </c>
      <c r="E2">
        <v>11</v>
      </c>
      <c r="F2">
        <v>8</v>
      </c>
      <c r="G2">
        <v>1</v>
      </c>
      <c r="H2">
        <v>7</v>
      </c>
      <c r="I2">
        <v>30</v>
      </c>
      <c r="J2">
        <v>1</v>
      </c>
      <c r="K2">
        <v>29</v>
      </c>
      <c r="L2" t="str">
        <f>IF(SpringfieldData[[#This Row],[Duff_beers]]&lt;=1,"Low",IF(SpringfieldData[[#This Row],[Duff_beers]]&lt;=6,"Moderate","High"))</f>
        <v>High</v>
      </c>
    </row>
    <row r="3" spans="1:12">
      <c r="A3" t="s">
        <v>22</v>
      </c>
      <c r="B3" t="s">
        <v>23</v>
      </c>
      <c r="C3">
        <v>7</v>
      </c>
      <c r="D3">
        <v>1</v>
      </c>
      <c r="E3">
        <v>0</v>
      </c>
      <c r="F3">
        <v>0</v>
      </c>
      <c r="G3">
        <v>8</v>
      </c>
      <c r="H3">
        <v>3</v>
      </c>
      <c r="I3">
        <v>83</v>
      </c>
      <c r="J3">
        <v>0</v>
      </c>
      <c r="K3">
        <v>32</v>
      </c>
      <c r="L3" t="str">
        <f>IF(SpringfieldData[[#This Row],[Duff_beers]]&lt;=1,"Low",IF(SpringfieldData[[#This Row],[Duff_beers]]&lt;=6,"Moderate","High"))</f>
        <v>Low</v>
      </c>
    </row>
    <row r="4" spans="1:12">
      <c r="A4" t="s">
        <v>24</v>
      </c>
      <c r="B4" t="s">
        <v>25</v>
      </c>
      <c r="C4">
        <v>5</v>
      </c>
      <c r="D4">
        <v>0</v>
      </c>
      <c r="E4">
        <v>0</v>
      </c>
      <c r="F4">
        <v>9</v>
      </c>
      <c r="G4">
        <v>4</v>
      </c>
      <c r="H4">
        <v>6</v>
      </c>
      <c r="I4">
        <v>36</v>
      </c>
      <c r="J4">
        <v>1</v>
      </c>
      <c r="K4">
        <v>29</v>
      </c>
      <c r="L4" t="str">
        <f>IF(SpringfieldData[[#This Row],[Duff_beers]]&lt;=1,"Low",IF(SpringfieldData[[#This Row],[Duff_beers]]&lt;=6,"Moderate","High"))</f>
        <v>Low</v>
      </c>
    </row>
    <row r="5" spans="1:12">
      <c r="A5" t="s">
        <v>26</v>
      </c>
      <c r="B5" t="s">
        <v>25</v>
      </c>
      <c r="C5">
        <v>8</v>
      </c>
      <c r="D5">
        <v>0</v>
      </c>
      <c r="E5">
        <v>0</v>
      </c>
      <c r="F5">
        <v>2</v>
      </c>
      <c r="G5">
        <v>9</v>
      </c>
      <c r="H5">
        <v>3</v>
      </c>
      <c r="I5">
        <v>97</v>
      </c>
      <c r="J5">
        <v>0</v>
      </c>
      <c r="K5">
        <v>44</v>
      </c>
      <c r="L5" t="str">
        <f>IF(SpringfieldData[[#This Row],[Duff_beers]]&lt;=1,"Low",IF(SpringfieldData[[#This Row],[Duff_beers]]&lt;=6,"Moderate","High"))</f>
        <v>Low</v>
      </c>
    </row>
    <row r="6" spans="1:12">
      <c r="A6" t="s">
        <v>27</v>
      </c>
      <c r="B6" t="s">
        <v>25</v>
      </c>
      <c r="C6">
        <v>9</v>
      </c>
      <c r="D6">
        <v>0</v>
      </c>
      <c r="E6">
        <v>0</v>
      </c>
      <c r="F6">
        <v>0</v>
      </c>
      <c r="G6">
        <v>10</v>
      </c>
      <c r="H6">
        <v>2</v>
      </c>
      <c r="I6">
        <v>98</v>
      </c>
      <c r="J6">
        <v>0</v>
      </c>
      <c r="K6">
        <v>40</v>
      </c>
      <c r="L6" t="str">
        <f>IF(SpringfieldData[[#This Row],[Duff_beers]]&lt;=1,"Low",IF(SpringfieldData[[#This Row],[Duff_beers]]&lt;=6,"Moderate","High"))</f>
        <v>Low</v>
      </c>
    </row>
    <row r="7" spans="1:12">
      <c r="A7" t="s">
        <v>28</v>
      </c>
      <c r="B7" t="s">
        <v>29</v>
      </c>
      <c r="C7">
        <v>6</v>
      </c>
      <c r="D7">
        <v>2</v>
      </c>
      <c r="E7">
        <v>4</v>
      </c>
      <c r="F7">
        <v>3</v>
      </c>
      <c r="G7">
        <v>5</v>
      </c>
      <c r="H7">
        <v>5</v>
      </c>
      <c r="I7">
        <v>55</v>
      </c>
      <c r="J7">
        <v>1</v>
      </c>
      <c r="K7">
        <v>18</v>
      </c>
      <c r="L7" t="str">
        <f>IF(SpringfieldData[[#This Row],[Duff_beers]]&lt;=1,"Low",IF(SpringfieldData[[#This Row],[Duff_beers]]&lt;=6,"Moderate","High"))</f>
        <v>Moderate</v>
      </c>
    </row>
    <row r="8" spans="1:12">
      <c r="A8" t="s">
        <v>30</v>
      </c>
      <c r="B8" t="s">
        <v>21</v>
      </c>
      <c r="C8">
        <v>6</v>
      </c>
      <c r="D8">
        <v>2</v>
      </c>
      <c r="E8">
        <v>7</v>
      </c>
      <c r="F8">
        <v>1</v>
      </c>
      <c r="G8">
        <v>8</v>
      </c>
      <c r="H8">
        <v>6</v>
      </c>
      <c r="I8">
        <v>63</v>
      </c>
      <c r="J8">
        <v>1</v>
      </c>
      <c r="K8">
        <v>15</v>
      </c>
      <c r="L8" t="str">
        <f>IF(SpringfieldData[[#This Row],[Duff_beers]]&lt;=1,"Low",IF(SpringfieldData[[#This Row],[Duff_beers]]&lt;=6,"Moderate","High"))</f>
        <v>Moderate</v>
      </c>
    </row>
    <row r="9" spans="1:12">
      <c r="A9" t="s">
        <v>31</v>
      </c>
      <c r="B9" t="s">
        <v>21</v>
      </c>
      <c r="C9">
        <v>7</v>
      </c>
      <c r="D9">
        <v>0</v>
      </c>
      <c r="E9">
        <v>1</v>
      </c>
      <c r="F9">
        <v>1</v>
      </c>
      <c r="G9">
        <v>10</v>
      </c>
      <c r="H9">
        <v>2</v>
      </c>
      <c r="I9">
        <v>91</v>
      </c>
      <c r="J9">
        <v>0</v>
      </c>
      <c r="K9">
        <v>44</v>
      </c>
      <c r="L9" t="str">
        <f>IF(SpringfieldData[[#This Row],[Duff_beers]]&lt;=1,"Low",IF(SpringfieldData[[#This Row],[Duff_beers]]&lt;=6,"Moderate","High"))</f>
        <v>Low</v>
      </c>
    </row>
    <row r="10" spans="1:12">
      <c r="A10" t="s">
        <v>32</v>
      </c>
      <c r="B10" t="s">
        <v>33</v>
      </c>
      <c r="C10">
        <v>8</v>
      </c>
      <c r="D10">
        <v>0</v>
      </c>
      <c r="E10">
        <v>1</v>
      </c>
      <c r="F10">
        <v>2</v>
      </c>
      <c r="G10">
        <v>9</v>
      </c>
      <c r="H10">
        <v>2</v>
      </c>
      <c r="I10">
        <v>98</v>
      </c>
      <c r="J10">
        <v>0</v>
      </c>
      <c r="K10">
        <v>43</v>
      </c>
      <c r="L10" t="str">
        <f>IF(SpringfieldData[[#This Row],[Duff_beers]]&lt;=1,"Low",IF(SpringfieldData[[#This Row],[Duff_beers]]&lt;=6,"Moderate","High"))</f>
        <v>Low</v>
      </c>
    </row>
    <row r="11" spans="1:12">
      <c r="A11" t="s">
        <v>34</v>
      </c>
      <c r="B11" t="s">
        <v>33</v>
      </c>
      <c r="C11">
        <v>8</v>
      </c>
      <c r="D11">
        <v>2</v>
      </c>
      <c r="E11">
        <v>2</v>
      </c>
      <c r="F11">
        <v>1</v>
      </c>
      <c r="G11">
        <v>8</v>
      </c>
      <c r="H11">
        <v>3</v>
      </c>
      <c r="I11">
        <v>84</v>
      </c>
      <c r="J11">
        <v>0</v>
      </c>
      <c r="K11">
        <v>41</v>
      </c>
      <c r="L11" t="str">
        <f>IF(SpringfieldData[[#This Row],[Duff_beers]]&lt;=1,"Low",IF(SpringfieldData[[#This Row],[Duff_beers]]&lt;=6,"Moderate","High"))</f>
        <v>Moderate</v>
      </c>
    </row>
    <row r="12" spans="1:12">
      <c r="A12" t="s">
        <v>35</v>
      </c>
      <c r="B12" t="s">
        <v>25</v>
      </c>
      <c r="C12">
        <v>7</v>
      </c>
      <c r="D12">
        <v>0</v>
      </c>
      <c r="E12">
        <v>0</v>
      </c>
      <c r="F12">
        <v>2</v>
      </c>
      <c r="G12">
        <v>7</v>
      </c>
      <c r="H12">
        <v>2</v>
      </c>
      <c r="I12">
        <v>85</v>
      </c>
      <c r="J12">
        <v>0</v>
      </c>
      <c r="K12">
        <v>35</v>
      </c>
      <c r="L12" t="str">
        <f>IF(SpringfieldData[[#This Row],[Duff_beers]]&lt;=1,"Low",IF(SpringfieldData[[#This Row],[Duff_beers]]&lt;=6,"Moderate","High"))</f>
        <v>Low</v>
      </c>
    </row>
    <row r="13" spans="1:12">
      <c r="A13" t="s">
        <v>36</v>
      </c>
      <c r="B13" t="s">
        <v>25</v>
      </c>
      <c r="C13">
        <v>7</v>
      </c>
      <c r="D13">
        <v>0</v>
      </c>
      <c r="E13">
        <v>0</v>
      </c>
      <c r="F13">
        <v>2</v>
      </c>
      <c r="G13">
        <v>9</v>
      </c>
      <c r="H13">
        <v>4</v>
      </c>
      <c r="I13">
        <v>82</v>
      </c>
      <c r="J13">
        <v>0</v>
      </c>
      <c r="K13">
        <v>34</v>
      </c>
      <c r="L13" t="str">
        <f>IF(SpringfieldData[[#This Row],[Duff_beers]]&lt;=1,"Low",IF(SpringfieldData[[#This Row],[Duff_beers]]&lt;=6,"Moderate","High"))</f>
        <v>Low</v>
      </c>
    </row>
    <row r="14" spans="1:12">
      <c r="A14" t="s">
        <v>37</v>
      </c>
      <c r="B14" t="s">
        <v>25</v>
      </c>
      <c r="C14">
        <v>5</v>
      </c>
      <c r="D14">
        <v>0</v>
      </c>
      <c r="E14">
        <v>0</v>
      </c>
      <c r="F14">
        <v>4</v>
      </c>
      <c r="G14">
        <v>2</v>
      </c>
      <c r="H14">
        <v>6</v>
      </c>
      <c r="I14">
        <v>61</v>
      </c>
      <c r="J14">
        <v>1</v>
      </c>
      <c r="K14">
        <v>27</v>
      </c>
      <c r="L14" t="str">
        <f>IF(SpringfieldData[[#This Row],[Duff_beers]]&lt;=1,"Low",IF(SpringfieldData[[#This Row],[Duff_beers]]&lt;=6,"Moderate","High"))</f>
        <v>Low</v>
      </c>
    </row>
    <row r="15" spans="1:12">
      <c r="A15" t="s">
        <v>38</v>
      </c>
      <c r="B15" t="s">
        <v>25</v>
      </c>
      <c r="C15">
        <v>5</v>
      </c>
      <c r="D15">
        <v>0</v>
      </c>
      <c r="E15">
        <v>0</v>
      </c>
      <c r="F15">
        <v>7</v>
      </c>
      <c r="G15">
        <v>2</v>
      </c>
      <c r="H15">
        <v>7</v>
      </c>
      <c r="I15">
        <v>31</v>
      </c>
      <c r="J15">
        <v>1</v>
      </c>
      <c r="K15">
        <v>26</v>
      </c>
      <c r="L15" t="str">
        <f>IF(SpringfieldData[[#This Row],[Duff_beers]]&lt;=1,"Low",IF(SpringfieldData[[#This Row],[Duff_beers]]&lt;=6,"Moderate","High"))</f>
        <v>Low</v>
      </c>
    </row>
    <row r="16" spans="1:12">
      <c r="A16" t="s">
        <v>39</v>
      </c>
      <c r="B16" t="s">
        <v>25</v>
      </c>
      <c r="C16">
        <v>5</v>
      </c>
      <c r="D16">
        <v>0</v>
      </c>
      <c r="E16">
        <v>0</v>
      </c>
      <c r="F16">
        <v>3</v>
      </c>
      <c r="G16">
        <v>5</v>
      </c>
      <c r="H16">
        <v>8</v>
      </c>
      <c r="I16">
        <v>36</v>
      </c>
      <c r="J16">
        <v>1</v>
      </c>
      <c r="K16">
        <v>25</v>
      </c>
      <c r="L16" t="str">
        <f>IF(SpringfieldData[[#This Row],[Duff_beers]]&lt;=1,"Low",IF(SpringfieldData[[#This Row],[Duff_beers]]&lt;=6,"Moderate","High"))</f>
        <v>Low</v>
      </c>
    </row>
    <row r="17" spans="1:12">
      <c r="A17" t="s">
        <v>40</v>
      </c>
      <c r="B17" t="s">
        <v>41</v>
      </c>
      <c r="C17">
        <v>8</v>
      </c>
      <c r="D17">
        <v>1</v>
      </c>
      <c r="E17">
        <v>0</v>
      </c>
      <c r="F17">
        <v>0</v>
      </c>
      <c r="G17">
        <v>8</v>
      </c>
      <c r="H17">
        <v>1</v>
      </c>
      <c r="I17">
        <v>89</v>
      </c>
      <c r="J17">
        <v>0</v>
      </c>
      <c r="K17">
        <v>37</v>
      </c>
      <c r="L17" t="str">
        <f>IF(SpringfieldData[[#This Row],[Duff_beers]]&lt;=1,"Low",IF(SpringfieldData[[#This Row],[Duff_beers]]&lt;=6,"Moderate","High"))</f>
        <v>Low</v>
      </c>
    </row>
    <row r="18" spans="1:12">
      <c r="A18" t="s">
        <v>42</v>
      </c>
      <c r="B18" t="s">
        <v>43</v>
      </c>
      <c r="C18">
        <v>4</v>
      </c>
      <c r="D18">
        <v>6</v>
      </c>
      <c r="E18">
        <v>5</v>
      </c>
      <c r="F18">
        <v>4</v>
      </c>
      <c r="G18">
        <v>1</v>
      </c>
      <c r="H18">
        <v>7</v>
      </c>
      <c r="I18">
        <v>30</v>
      </c>
      <c r="J18">
        <v>1</v>
      </c>
      <c r="K18">
        <v>23</v>
      </c>
      <c r="L18" t="str">
        <f>IF(SpringfieldData[[#This Row],[Duff_beers]]&lt;=1,"Low",IF(SpringfieldData[[#This Row],[Duff_beers]]&lt;=6,"Moderate","High"))</f>
        <v>Moderate</v>
      </c>
    </row>
    <row r="19" spans="1:12">
      <c r="A19" t="s">
        <v>44</v>
      </c>
      <c r="B19" t="s">
        <v>43</v>
      </c>
      <c r="C19">
        <v>5</v>
      </c>
      <c r="D19">
        <v>9</v>
      </c>
      <c r="E19">
        <v>8</v>
      </c>
      <c r="F19">
        <v>7</v>
      </c>
      <c r="G19">
        <v>1</v>
      </c>
      <c r="H19">
        <v>5</v>
      </c>
      <c r="I19">
        <v>34</v>
      </c>
      <c r="J19">
        <v>1</v>
      </c>
      <c r="K19">
        <v>25</v>
      </c>
      <c r="L19" t="str">
        <f>IF(SpringfieldData[[#This Row],[Duff_beers]]&lt;=1,"Low",IF(SpringfieldData[[#This Row],[Duff_beers]]&lt;=6,"Moderate","High"))</f>
        <v>High</v>
      </c>
    </row>
    <row r="20" spans="1:12">
      <c r="A20" t="s">
        <v>45</v>
      </c>
      <c r="B20" t="s">
        <v>46</v>
      </c>
      <c r="C20">
        <v>6</v>
      </c>
      <c r="D20">
        <v>4</v>
      </c>
      <c r="E20">
        <v>1</v>
      </c>
      <c r="F20">
        <v>2</v>
      </c>
      <c r="G20">
        <v>5</v>
      </c>
      <c r="H20">
        <v>4</v>
      </c>
      <c r="I20">
        <v>60</v>
      </c>
      <c r="J20">
        <v>1</v>
      </c>
      <c r="K20">
        <v>17</v>
      </c>
      <c r="L20" t="str">
        <f>IF(SpringfieldData[[#This Row],[Duff_beers]]&lt;=1,"Low",IF(SpringfieldData[[#This Row],[Duff_beers]]&lt;=6,"Moderate","High"))</f>
        <v>Moderate</v>
      </c>
    </row>
    <row r="21" spans="1:12">
      <c r="A21" t="s">
        <v>47</v>
      </c>
      <c r="B21" t="s">
        <v>48</v>
      </c>
      <c r="C21">
        <v>4</v>
      </c>
      <c r="D21">
        <v>11</v>
      </c>
      <c r="E21">
        <v>9</v>
      </c>
      <c r="F21">
        <v>4</v>
      </c>
      <c r="G21">
        <v>2</v>
      </c>
      <c r="H21">
        <v>6</v>
      </c>
      <c r="I21">
        <v>27</v>
      </c>
      <c r="J21">
        <v>1</v>
      </c>
      <c r="K21">
        <v>28</v>
      </c>
      <c r="L21" t="str">
        <f>IF(SpringfieldData[[#This Row],[Duff_beers]]&lt;=1,"Low",IF(SpringfieldData[[#This Row],[Duff_beers]]&lt;=6,"Moderate","High"))</f>
        <v>High</v>
      </c>
    </row>
    <row r="22" spans="1:12">
      <c r="A22" t="s">
        <v>49</v>
      </c>
      <c r="B22" t="s">
        <v>50</v>
      </c>
      <c r="C22">
        <v>9</v>
      </c>
      <c r="D22">
        <v>1</v>
      </c>
      <c r="E22">
        <v>1</v>
      </c>
      <c r="F22">
        <v>1</v>
      </c>
      <c r="G22">
        <v>8</v>
      </c>
      <c r="H22">
        <v>3</v>
      </c>
      <c r="I22">
        <v>96</v>
      </c>
      <c r="J22">
        <v>0</v>
      </c>
      <c r="K22">
        <v>46</v>
      </c>
      <c r="L22" t="str">
        <f>IF(SpringfieldData[[#This Row],[Duff_beers]]&lt;=1,"Low",IF(SpringfieldData[[#This Row],[Duff_beers]]&lt;=6,"Moderate","High"))</f>
        <v>Low</v>
      </c>
    </row>
    <row r="23" spans="1:12">
      <c r="A23" t="s">
        <v>51</v>
      </c>
      <c r="B23" t="s">
        <v>52</v>
      </c>
      <c r="C23">
        <v>8</v>
      </c>
      <c r="D23">
        <v>0</v>
      </c>
      <c r="E23">
        <v>2</v>
      </c>
      <c r="F23">
        <v>2</v>
      </c>
      <c r="G23">
        <v>10</v>
      </c>
      <c r="H23">
        <v>2</v>
      </c>
      <c r="I23">
        <v>97</v>
      </c>
      <c r="J23">
        <v>0</v>
      </c>
      <c r="K23">
        <v>41</v>
      </c>
      <c r="L23" t="str">
        <f>IF(SpringfieldData[[#This Row],[Duff_beers]]&lt;=1,"Low",IF(SpringfieldData[[#This Row],[Duff_beers]]&lt;=6,"Moderate","High"))</f>
        <v>Low</v>
      </c>
    </row>
    <row r="24" spans="1:12">
      <c r="A24" t="s">
        <v>53</v>
      </c>
      <c r="B24" t="s">
        <v>52</v>
      </c>
      <c r="C24">
        <v>7</v>
      </c>
      <c r="D24">
        <v>1</v>
      </c>
      <c r="E24">
        <v>1</v>
      </c>
      <c r="F24">
        <v>0</v>
      </c>
      <c r="G24">
        <v>8</v>
      </c>
      <c r="H24">
        <v>2</v>
      </c>
      <c r="I24">
        <v>91</v>
      </c>
      <c r="J24">
        <v>0</v>
      </c>
      <c r="K24">
        <v>36</v>
      </c>
      <c r="L24" t="str">
        <f>IF(SpringfieldData[[#This Row],[Duff_beers]]&lt;=1,"Low",IF(SpringfieldData[[#This Row],[Duff_beers]]&lt;=6,"Moderate","High"))</f>
        <v>Low</v>
      </c>
    </row>
    <row r="25" spans="1:12">
      <c r="A25" t="s">
        <v>54</v>
      </c>
      <c r="B25" t="s">
        <v>41</v>
      </c>
      <c r="C25">
        <v>7</v>
      </c>
      <c r="D25">
        <v>2</v>
      </c>
      <c r="E25">
        <v>5</v>
      </c>
      <c r="F25">
        <v>4</v>
      </c>
      <c r="G25">
        <v>7</v>
      </c>
      <c r="H25">
        <v>4</v>
      </c>
      <c r="I25">
        <v>69</v>
      </c>
      <c r="J25">
        <v>0</v>
      </c>
      <c r="K25">
        <v>30</v>
      </c>
      <c r="L25" t="str">
        <f>IF(SpringfieldData[[#This Row],[Duff_beers]]&lt;=1,"Low",IF(SpringfieldData[[#This Row],[Duff_beers]]&lt;=6,"Moderate","High"))</f>
        <v>Moderate</v>
      </c>
    </row>
    <row r="26" spans="1:12">
      <c r="A26" t="s">
        <v>55</v>
      </c>
      <c r="B26" t="s">
        <v>52</v>
      </c>
      <c r="C26">
        <v>6</v>
      </c>
      <c r="D26">
        <v>2</v>
      </c>
      <c r="E26">
        <v>3</v>
      </c>
      <c r="F26">
        <v>4</v>
      </c>
      <c r="G26">
        <v>7</v>
      </c>
      <c r="H26">
        <v>4</v>
      </c>
      <c r="I26">
        <v>67</v>
      </c>
      <c r="J26">
        <v>0</v>
      </c>
      <c r="K26">
        <v>31</v>
      </c>
      <c r="L26" t="str">
        <f>IF(SpringfieldData[[#This Row],[Duff_beers]]&lt;=1,"Low",IF(SpringfieldData[[#This Row],[Duff_beers]]&lt;=6,"Moderate","High"))</f>
        <v>Moderate</v>
      </c>
    </row>
    <row r="27" spans="1:12">
      <c r="A27" t="s">
        <v>56</v>
      </c>
      <c r="B27" t="s">
        <v>33</v>
      </c>
      <c r="C27">
        <v>7</v>
      </c>
      <c r="D27">
        <v>1</v>
      </c>
      <c r="E27">
        <v>2</v>
      </c>
      <c r="F27">
        <v>2</v>
      </c>
      <c r="G27">
        <v>9</v>
      </c>
      <c r="H27">
        <v>2</v>
      </c>
      <c r="I27">
        <v>89</v>
      </c>
      <c r="J27">
        <v>0</v>
      </c>
      <c r="K27">
        <v>40</v>
      </c>
      <c r="L27" t="str">
        <f>IF(SpringfieldData[[#This Row],[Duff_beers]]&lt;=1,"Low",IF(SpringfieldData[[#This Row],[Duff_beers]]&lt;=6,"Moderate","High"))</f>
        <v>Low</v>
      </c>
    </row>
    <row r="28" spans="1:12">
      <c r="A28" t="s">
        <v>57</v>
      </c>
      <c r="B28" t="s">
        <v>58</v>
      </c>
      <c r="C28">
        <v>6</v>
      </c>
      <c r="D28">
        <v>3</v>
      </c>
      <c r="E28">
        <v>5</v>
      </c>
      <c r="F28">
        <v>2</v>
      </c>
      <c r="G28">
        <v>6</v>
      </c>
      <c r="H28">
        <v>6</v>
      </c>
      <c r="I28">
        <v>61</v>
      </c>
      <c r="J28">
        <v>1</v>
      </c>
      <c r="K28">
        <v>19</v>
      </c>
      <c r="L28" t="str">
        <f>IF(SpringfieldData[[#This Row],[Duff_beers]]&lt;=1,"Low",IF(SpringfieldData[[#This Row],[Duff_beers]]&lt;=6,"Moderate","High"))</f>
        <v>Moderate</v>
      </c>
    </row>
    <row r="29" spans="1:12">
      <c r="A29" t="s">
        <v>59</v>
      </c>
      <c r="B29" t="s">
        <v>58</v>
      </c>
      <c r="C29">
        <v>6</v>
      </c>
      <c r="D29">
        <v>1</v>
      </c>
      <c r="E29">
        <v>5</v>
      </c>
      <c r="F29">
        <v>3</v>
      </c>
      <c r="G29">
        <v>5</v>
      </c>
      <c r="H29">
        <v>5</v>
      </c>
      <c r="I29">
        <v>59</v>
      </c>
      <c r="J29">
        <v>1</v>
      </c>
      <c r="K29">
        <v>17</v>
      </c>
      <c r="L29" t="str">
        <f>IF(SpringfieldData[[#This Row],[Duff_beers]]&lt;=1,"Low",IF(SpringfieldData[[#This Row],[Duff_beers]]&lt;=6,"Moderate","High"))</f>
        <v>Low</v>
      </c>
    </row>
    <row r="30" spans="1:12">
      <c r="A30" t="s">
        <v>60</v>
      </c>
      <c r="B30" t="s">
        <v>46</v>
      </c>
      <c r="C30">
        <v>6</v>
      </c>
      <c r="D30">
        <v>3</v>
      </c>
      <c r="E30">
        <v>2</v>
      </c>
      <c r="F30">
        <v>1</v>
      </c>
      <c r="G30">
        <v>8</v>
      </c>
      <c r="H30">
        <v>6</v>
      </c>
      <c r="I30">
        <v>67</v>
      </c>
      <c r="J30">
        <v>0</v>
      </c>
      <c r="K30">
        <v>31</v>
      </c>
      <c r="L30" t="str">
        <f>IF(SpringfieldData[[#This Row],[Duff_beers]]&lt;=1,"Low",IF(SpringfieldData[[#This Row],[Duff_beers]]&lt;=6,"Moderate","High"))</f>
        <v>Moderate</v>
      </c>
    </row>
    <row r="31" spans="1:12">
      <c r="A31" t="s">
        <v>61</v>
      </c>
      <c r="B31" t="s">
        <v>46</v>
      </c>
      <c r="C31">
        <v>8</v>
      </c>
      <c r="D31">
        <v>2</v>
      </c>
      <c r="E31">
        <v>2</v>
      </c>
      <c r="F31">
        <v>0</v>
      </c>
      <c r="G31">
        <v>9</v>
      </c>
      <c r="H31">
        <v>1</v>
      </c>
      <c r="I31">
        <v>91</v>
      </c>
      <c r="J31">
        <v>0</v>
      </c>
      <c r="K31">
        <v>43</v>
      </c>
      <c r="L31" t="str">
        <f>IF(SpringfieldData[[#This Row],[Duff_beers]]&lt;=1,"Low",IF(SpringfieldData[[#This Row],[Duff_beers]]&lt;=6,"Moderate","High"))</f>
        <v>Moderate</v>
      </c>
    </row>
    <row r="32" spans="1:12">
      <c r="A32" t="s">
        <v>62</v>
      </c>
      <c r="B32" t="s">
        <v>21</v>
      </c>
      <c r="C32">
        <v>6</v>
      </c>
      <c r="D32">
        <v>2</v>
      </c>
      <c r="E32">
        <v>2</v>
      </c>
      <c r="F32">
        <v>4</v>
      </c>
      <c r="G32">
        <v>6</v>
      </c>
      <c r="H32">
        <v>4</v>
      </c>
      <c r="I32">
        <v>65</v>
      </c>
      <c r="J32">
        <v>1</v>
      </c>
      <c r="K32">
        <v>18</v>
      </c>
      <c r="L32" t="str">
        <f>IF(SpringfieldData[[#This Row],[Duff_beers]]&lt;=1,"Low",IF(SpringfieldData[[#This Row],[Duff_beers]]&lt;=6,"Moderate","High"))</f>
        <v>Moderate</v>
      </c>
    </row>
    <row r="33" spans="1:12">
      <c r="A33" t="s">
        <v>63</v>
      </c>
      <c r="B33" t="s">
        <v>21</v>
      </c>
      <c r="C33">
        <v>6</v>
      </c>
      <c r="D33">
        <v>4</v>
      </c>
      <c r="E33">
        <v>3</v>
      </c>
      <c r="F33">
        <v>3</v>
      </c>
      <c r="G33">
        <v>6</v>
      </c>
      <c r="H33">
        <v>3</v>
      </c>
      <c r="I33">
        <v>62</v>
      </c>
      <c r="J33">
        <v>1</v>
      </c>
      <c r="K33">
        <v>18</v>
      </c>
      <c r="L33" t="str">
        <f>IF(SpringfieldData[[#This Row],[Duff_beers]]&lt;=1,"Low",IF(SpringfieldData[[#This Row],[Duff_beers]]&lt;=6,"Moderate","High"))</f>
        <v>Moderate</v>
      </c>
    </row>
    <row r="34" spans="1:12">
      <c r="A34" t="s">
        <v>64</v>
      </c>
      <c r="B34" t="s">
        <v>65</v>
      </c>
      <c r="C34">
        <v>4</v>
      </c>
      <c r="D34">
        <v>9</v>
      </c>
      <c r="E34">
        <v>5</v>
      </c>
      <c r="F34">
        <v>7</v>
      </c>
      <c r="G34">
        <v>4</v>
      </c>
      <c r="H34">
        <v>7</v>
      </c>
      <c r="I34">
        <v>30</v>
      </c>
      <c r="J34">
        <v>1</v>
      </c>
      <c r="K34">
        <v>23</v>
      </c>
      <c r="L34" t="str">
        <f>IF(SpringfieldData[[#This Row],[Duff_beers]]&lt;=1,"Low",IF(SpringfieldData[[#This Row],[Duff_beers]]&lt;=6,"Moderate","High"))</f>
        <v>High</v>
      </c>
    </row>
    <row r="35" spans="1:12">
      <c r="A35" t="s">
        <v>66</v>
      </c>
      <c r="B35" t="s">
        <v>46</v>
      </c>
      <c r="C35">
        <v>5</v>
      </c>
      <c r="D35">
        <v>9</v>
      </c>
      <c r="E35">
        <v>4</v>
      </c>
      <c r="F35">
        <v>8</v>
      </c>
      <c r="G35">
        <v>2</v>
      </c>
      <c r="H35">
        <v>6</v>
      </c>
      <c r="I35">
        <v>54</v>
      </c>
      <c r="J35">
        <v>1</v>
      </c>
      <c r="K35">
        <v>26</v>
      </c>
      <c r="L35" t="str">
        <f>IF(SpringfieldData[[#This Row],[Duff_beers]]&lt;=1,"Low",IF(SpringfieldData[[#This Row],[Duff_beers]]&lt;=6,"Moderate","High"))</f>
        <v>High</v>
      </c>
    </row>
    <row r="36" spans="1:12">
      <c r="A36" t="s">
        <v>67</v>
      </c>
      <c r="B36" t="s">
        <v>68</v>
      </c>
      <c r="C36">
        <v>5</v>
      </c>
      <c r="D36">
        <v>9</v>
      </c>
      <c r="E36">
        <v>14</v>
      </c>
      <c r="F36">
        <v>7</v>
      </c>
      <c r="G36">
        <v>3</v>
      </c>
      <c r="H36">
        <v>7</v>
      </c>
      <c r="I36">
        <v>30</v>
      </c>
      <c r="J36">
        <v>1</v>
      </c>
      <c r="K36">
        <v>29</v>
      </c>
      <c r="L36" t="str">
        <f>IF(SpringfieldData[[#This Row],[Duff_beers]]&lt;=1,"Low",IF(SpringfieldData[[#This Row],[Duff_beers]]&lt;=6,"Moderate","High"))</f>
        <v>High</v>
      </c>
    </row>
    <row r="37" spans="1:12">
      <c r="A37" t="s">
        <v>69</v>
      </c>
      <c r="B37" t="s">
        <v>70</v>
      </c>
      <c r="C37">
        <v>8</v>
      </c>
      <c r="D37">
        <v>1</v>
      </c>
      <c r="E37">
        <v>1</v>
      </c>
      <c r="F37">
        <v>2</v>
      </c>
      <c r="G37">
        <v>10</v>
      </c>
      <c r="H37">
        <v>4</v>
      </c>
      <c r="I37">
        <v>93</v>
      </c>
      <c r="J37">
        <v>0</v>
      </c>
      <c r="K37">
        <v>42</v>
      </c>
      <c r="L37" t="str">
        <f>IF(SpringfieldData[[#This Row],[Duff_beers]]&lt;=1,"Low",IF(SpringfieldData[[#This Row],[Duff_beers]]&lt;=6,"Moderate","High"))</f>
        <v>Low</v>
      </c>
    </row>
    <row r="38" spans="1:12">
      <c r="A38" t="s">
        <v>71</v>
      </c>
      <c r="B38" t="s">
        <v>50</v>
      </c>
      <c r="C38">
        <v>4</v>
      </c>
      <c r="D38">
        <v>10</v>
      </c>
      <c r="E38">
        <v>13</v>
      </c>
      <c r="F38">
        <v>4</v>
      </c>
      <c r="G38">
        <v>1</v>
      </c>
      <c r="H38">
        <v>8</v>
      </c>
      <c r="I38">
        <v>80</v>
      </c>
      <c r="J38">
        <v>1</v>
      </c>
      <c r="K38">
        <v>28</v>
      </c>
      <c r="L38" t="str">
        <f>IF(SpringfieldData[[#This Row],[Duff_beers]]&lt;=1,"Low",IF(SpringfieldData[[#This Row],[Duff_beers]]&lt;=6,"Moderate","High"))</f>
        <v>High</v>
      </c>
    </row>
    <row r="39" spans="1:12">
      <c r="A39" t="s">
        <v>72</v>
      </c>
      <c r="B39" t="s">
        <v>23</v>
      </c>
      <c r="C39">
        <v>6</v>
      </c>
      <c r="D39">
        <v>3</v>
      </c>
      <c r="E39">
        <v>4</v>
      </c>
      <c r="F39">
        <v>4</v>
      </c>
      <c r="G39">
        <v>5</v>
      </c>
      <c r="H39">
        <v>5</v>
      </c>
      <c r="I39">
        <v>55</v>
      </c>
      <c r="J39">
        <v>1</v>
      </c>
      <c r="K39">
        <v>14</v>
      </c>
      <c r="L39" t="str">
        <f>IF(SpringfieldData[[#This Row],[Duff_beers]]&lt;=1,"Low",IF(SpringfieldData[[#This Row],[Duff_beers]]&lt;=6,"Moderate","High"))</f>
        <v>Moderate</v>
      </c>
    </row>
    <row r="40" spans="1:12">
      <c r="A40" t="s">
        <v>73</v>
      </c>
      <c r="B40" t="s">
        <v>33</v>
      </c>
      <c r="C40">
        <v>9</v>
      </c>
      <c r="D40">
        <v>2</v>
      </c>
      <c r="E40">
        <v>0</v>
      </c>
      <c r="F40">
        <v>2</v>
      </c>
      <c r="G40">
        <v>8</v>
      </c>
      <c r="H40">
        <v>2</v>
      </c>
      <c r="I40">
        <v>95</v>
      </c>
      <c r="J40">
        <v>0</v>
      </c>
      <c r="K40">
        <v>44</v>
      </c>
      <c r="L40" t="str">
        <f>IF(SpringfieldData[[#This Row],[Duff_beers]]&lt;=1,"Low",IF(SpringfieldData[[#This Row],[Duff_beers]]&lt;=6,"Moderate","High"))</f>
        <v>Moderate</v>
      </c>
    </row>
    <row r="41" spans="1:12">
      <c r="A41" t="s">
        <v>74</v>
      </c>
      <c r="B41" t="s">
        <v>75</v>
      </c>
      <c r="C41">
        <v>4</v>
      </c>
      <c r="D41">
        <v>7</v>
      </c>
      <c r="E41">
        <v>9</v>
      </c>
      <c r="F41">
        <v>6</v>
      </c>
      <c r="G41">
        <v>2</v>
      </c>
      <c r="H41">
        <v>6</v>
      </c>
      <c r="I41">
        <v>35</v>
      </c>
      <c r="J41">
        <v>1</v>
      </c>
      <c r="K41">
        <v>27</v>
      </c>
      <c r="L41" t="str">
        <f>IF(SpringfieldData[[#This Row],[Duff_beers]]&lt;=1,"Low",IF(SpringfieldData[[#This Row],[Duff_beers]]&lt;=6,"Moderate","High"))</f>
        <v>High</v>
      </c>
    </row>
    <row r="42" spans="1:12">
      <c r="A42" t="s">
        <v>76</v>
      </c>
      <c r="B42" t="s">
        <v>75</v>
      </c>
      <c r="C42">
        <v>5</v>
      </c>
      <c r="D42">
        <v>7</v>
      </c>
      <c r="E42">
        <v>3</v>
      </c>
      <c r="F42">
        <v>6</v>
      </c>
      <c r="G42">
        <v>3</v>
      </c>
      <c r="H42">
        <v>7</v>
      </c>
      <c r="I42">
        <v>31</v>
      </c>
      <c r="J42">
        <v>1</v>
      </c>
      <c r="K42">
        <v>23</v>
      </c>
      <c r="L42" t="str">
        <f>IF(SpringfieldData[[#This Row],[Duff_beers]]&lt;=1,"Low",IF(SpringfieldData[[#This Row],[Duff_beers]]&lt;=6,"Moderate","High"))</f>
        <v>High</v>
      </c>
    </row>
    <row r="43" spans="1:12">
      <c r="A43" t="s">
        <v>77</v>
      </c>
      <c r="B43" t="s">
        <v>29</v>
      </c>
      <c r="C43">
        <v>7</v>
      </c>
      <c r="D43">
        <v>4</v>
      </c>
      <c r="E43">
        <v>1</v>
      </c>
      <c r="F43">
        <v>2</v>
      </c>
      <c r="G43">
        <v>5</v>
      </c>
      <c r="H43">
        <v>5</v>
      </c>
      <c r="I43">
        <v>62</v>
      </c>
      <c r="J43">
        <v>1</v>
      </c>
      <c r="K43">
        <v>14</v>
      </c>
      <c r="L43" t="str">
        <f>IF(SpringfieldData[[#This Row],[Duff_beers]]&lt;=1,"Low",IF(SpringfieldData[[#This Row],[Duff_beers]]&lt;=6,"Moderate","High"))</f>
        <v>Moderate</v>
      </c>
    </row>
    <row r="44" spans="1:12">
      <c r="A44" t="s">
        <v>78</v>
      </c>
      <c r="B44" t="s">
        <v>41</v>
      </c>
      <c r="C44">
        <v>5</v>
      </c>
      <c r="D44">
        <v>9</v>
      </c>
      <c r="E44">
        <v>13</v>
      </c>
      <c r="F44">
        <v>5</v>
      </c>
      <c r="G44">
        <v>2</v>
      </c>
      <c r="H44">
        <v>9</v>
      </c>
      <c r="I44">
        <v>30</v>
      </c>
      <c r="J44">
        <v>1</v>
      </c>
      <c r="K44">
        <v>25</v>
      </c>
      <c r="L44" t="str">
        <f>IF(SpringfieldData[[#This Row],[Duff_beers]]&lt;=1,"Low",IF(SpringfieldData[[#This Row],[Duff_beers]]&lt;=6,"Moderate","High"))</f>
        <v>High</v>
      </c>
    </row>
    <row r="45" spans="1:12">
      <c r="A45" t="s">
        <v>79</v>
      </c>
      <c r="B45" t="s">
        <v>41</v>
      </c>
      <c r="C45">
        <v>6</v>
      </c>
      <c r="D45">
        <v>1</v>
      </c>
      <c r="E45">
        <v>4</v>
      </c>
      <c r="F45">
        <v>2</v>
      </c>
      <c r="G45">
        <v>5</v>
      </c>
      <c r="H45">
        <v>6</v>
      </c>
      <c r="I45">
        <v>62</v>
      </c>
      <c r="J45">
        <v>1</v>
      </c>
      <c r="K45">
        <v>14</v>
      </c>
      <c r="L45" t="str">
        <f>IF(SpringfieldData[[#This Row],[Duff_beers]]&lt;=1,"Low",IF(SpringfieldData[[#This Row],[Duff_beers]]&lt;=6,"Moderate","High"))</f>
        <v>Low</v>
      </c>
    </row>
    <row r="46" spans="1:12">
      <c r="A46" t="s">
        <v>80</v>
      </c>
      <c r="B46" t="s">
        <v>81</v>
      </c>
      <c r="C46">
        <v>4</v>
      </c>
      <c r="D46">
        <v>9</v>
      </c>
      <c r="E46">
        <v>4</v>
      </c>
      <c r="F46">
        <v>11</v>
      </c>
      <c r="G46">
        <v>3</v>
      </c>
      <c r="H46">
        <v>6</v>
      </c>
      <c r="I46">
        <v>45</v>
      </c>
      <c r="J46">
        <v>1</v>
      </c>
      <c r="K46">
        <v>30</v>
      </c>
      <c r="L46" t="str">
        <f>IF(SpringfieldData[[#This Row],[Duff_beers]]&lt;=1,"Low",IF(SpringfieldData[[#This Row],[Duff_beers]]&lt;=6,"Moderate","High"))</f>
        <v>High</v>
      </c>
    </row>
    <row r="47" spans="1:12">
      <c r="A47" t="s">
        <v>82</v>
      </c>
      <c r="B47" t="s">
        <v>68</v>
      </c>
      <c r="C47">
        <v>5</v>
      </c>
      <c r="D47">
        <v>5</v>
      </c>
      <c r="E47">
        <v>9</v>
      </c>
      <c r="F47">
        <v>5</v>
      </c>
      <c r="G47">
        <v>1</v>
      </c>
      <c r="H47">
        <v>6</v>
      </c>
      <c r="I47">
        <v>65</v>
      </c>
      <c r="J47">
        <v>1</v>
      </c>
      <c r="K47">
        <v>26</v>
      </c>
      <c r="L47" t="str">
        <f>IF(SpringfieldData[[#This Row],[Duff_beers]]&lt;=1,"Low",IF(SpringfieldData[[#This Row],[Duff_beers]]&lt;=6,"Moderate","High"))</f>
        <v>Moderate</v>
      </c>
    </row>
    <row r="48" spans="1:12">
      <c r="A48" t="s">
        <v>83</v>
      </c>
      <c r="B48" t="s">
        <v>46</v>
      </c>
      <c r="C48">
        <v>8</v>
      </c>
      <c r="D48">
        <v>1</v>
      </c>
      <c r="E48">
        <v>2</v>
      </c>
      <c r="F48">
        <v>1</v>
      </c>
      <c r="G48">
        <v>10</v>
      </c>
      <c r="H48">
        <v>2</v>
      </c>
      <c r="I48">
        <v>92</v>
      </c>
      <c r="J48">
        <v>0</v>
      </c>
      <c r="K48">
        <v>42</v>
      </c>
      <c r="L48" t="str">
        <f>IF(SpringfieldData[[#This Row],[Duff_beers]]&lt;=1,"Low",IF(SpringfieldData[[#This Row],[Duff_beers]]&lt;=6,"Moderate","High"))</f>
        <v>Low</v>
      </c>
    </row>
    <row r="49" spans="1:12">
      <c r="A49" t="s">
        <v>84</v>
      </c>
      <c r="B49" t="s">
        <v>58</v>
      </c>
      <c r="C49">
        <v>6</v>
      </c>
      <c r="D49">
        <v>1</v>
      </c>
      <c r="E49">
        <v>4</v>
      </c>
      <c r="F49">
        <v>3</v>
      </c>
      <c r="G49">
        <v>5</v>
      </c>
      <c r="H49">
        <v>4</v>
      </c>
      <c r="I49">
        <v>66</v>
      </c>
      <c r="J49">
        <v>0</v>
      </c>
      <c r="K49">
        <v>28</v>
      </c>
      <c r="L49" t="str">
        <f>IF(SpringfieldData[[#This Row],[Duff_beers]]&lt;=1,"Low",IF(SpringfieldData[[#This Row],[Duff_beers]]&lt;=6,"Moderate","High"))</f>
        <v>Low</v>
      </c>
    </row>
    <row r="50" spans="1:12">
      <c r="A50" t="s">
        <v>85</v>
      </c>
      <c r="B50" t="s">
        <v>86</v>
      </c>
      <c r="C50">
        <v>6</v>
      </c>
      <c r="D50">
        <v>7</v>
      </c>
      <c r="E50">
        <v>9</v>
      </c>
      <c r="F50">
        <v>11</v>
      </c>
      <c r="G50">
        <v>2</v>
      </c>
      <c r="H50">
        <v>8</v>
      </c>
      <c r="I50">
        <v>29</v>
      </c>
      <c r="J50">
        <v>1</v>
      </c>
      <c r="K50">
        <v>23</v>
      </c>
      <c r="L50" t="str">
        <f>IF(SpringfieldData[[#This Row],[Duff_beers]]&lt;=1,"Low",IF(SpringfieldData[[#This Row],[Duff_beers]]&lt;=6,"Moderate","High"))</f>
        <v>High</v>
      </c>
    </row>
    <row r="51" spans="1:12">
      <c r="A51" t="s">
        <v>87</v>
      </c>
      <c r="B51" t="s">
        <v>25</v>
      </c>
      <c r="C51">
        <v>9</v>
      </c>
      <c r="D51">
        <v>0</v>
      </c>
      <c r="E51">
        <v>0</v>
      </c>
      <c r="F51">
        <v>1</v>
      </c>
      <c r="G51">
        <v>10</v>
      </c>
      <c r="H51">
        <v>2</v>
      </c>
      <c r="I51">
        <v>97</v>
      </c>
      <c r="J51">
        <v>0</v>
      </c>
      <c r="K51">
        <v>40</v>
      </c>
      <c r="L51" t="str">
        <f>IF(SpringfieldData[[#This Row],[Duff_beers]]&lt;=1,"Low",IF(SpringfieldData[[#This Row],[Duff_beers]]&lt;=6,"Moderate","High"))</f>
        <v>Low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55200-AF6C-7C43-BC35-AB7ED905B7DE}">
  <dimension ref="A1:G24"/>
  <sheetViews>
    <sheetView showGridLines="0" zoomScaleNormal="100" workbookViewId="0">
      <selection activeCell="E19" sqref="E19"/>
    </sheetView>
    <sheetView workbookViewId="1"/>
  </sheetViews>
  <sheetFormatPr defaultColWidth="11" defaultRowHeight="15.95"/>
  <cols>
    <col min="1" max="1" width="15.125" customWidth="1"/>
    <col min="2" max="7" width="15.875" customWidth="1"/>
  </cols>
  <sheetData>
    <row r="1" spans="1:7" s="8" customFormat="1" ht="27">
      <c r="A1" s="8" t="s">
        <v>88</v>
      </c>
    </row>
    <row r="2" spans="1:7" ht="90.95" customHeight="1">
      <c r="A2" s="13" t="s">
        <v>89</v>
      </c>
    </row>
    <row r="3" spans="1:7">
      <c r="A3" s="9" t="s">
        <v>90</v>
      </c>
    </row>
    <row r="4" spans="1:7" s="10" customFormat="1">
      <c r="A4" s="11"/>
      <c r="B4" s="11" t="s">
        <v>10</v>
      </c>
      <c r="C4" s="11" t="s">
        <v>11</v>
      </c>
      <c r="D4" s="11" t="s">
        <v>12</v>
      </c>
      <c r="E4" s="11" t="s">
        <v>13</v>
      </c>
      <c r="F4" s="11" t="s">
        <v>14</v>
      </c>
      <c r="G4" s="11" t="s">
        <v>15</v>
      </c>
    </row>
    <row r="5" spans="1:7">
      <c r="A5" s="12" t="s">
        <v>91</v>
      </c>
      <c r="B5" s="12">
        <f>AVERAGE(SpringfieldData[Sleep_hours])</f>
        <v>6.24</v>
      </c>
      <c r="C5" s="12"/>
      <c r="D5" s="12"/>
      <c r="E5" s="12"/>
      <c r="F5" s="12"/>
      <c r="G5" s="12"/>
    </row>
    <row r="6" spans="1:7">
      <c r="A6" s="12" t="s">
        <v>92</v>
      </c>
      <c r="B6" s="12">
        <f>MEDIAN(SpringfieldData[Sleep_hours])</f>
        <v>6</v>
      </c>
      <c r="C6" s="12"/>
      <c r="D6" s="12"/>
      <c r="E6" s="12"/>
      <c r="F6" s="12"/>
      <c r="G6" s="12"/>
    </row>
    <row r="7" spans="1:7">
      <c r="A7" s="12" t="s">
        <v>93</v>
      </c>
      <c r="B7" s="12">
        <f>STDEV(SpringfieldData[Sleep_hours])</f>
        <v>1.5059067374976494</v>
      </c>
      <c r="C7" s="12"/>
      <c r="D7" s="12"/>
      <c r="E7" s="12"/>
      <c r="F7" s="12"/>
      <c r="G7" s="12"/>
    </row>
    <row r="8" spans="1:7">
      <c r="A8" s="12" t="s">
        <v>94</v>
      </c>
      <c r="B8" s="12">
        <f>MIN(SpringfieldData[Sleep_hours])</f>
        <v>4</v>
      </c>
      <c r="C8" s="12"/>
      <c r="D8" s="12"/>
      <c r="E8" s="12"/>
      <c r="F8" s="12"/>
      <c r="G8" s="12"/>
    </row>
    <row r="9" spans="1:7">
      <c r="A9" s="12" t="s">
        <v>95</v>
      </c>
      <c r="B9" s="12">
        <f>MAX(SpringfieldData[Sleep_hours])</f>
        <v>9</v>
      </c>
      <c r="C9" s="12"/>
      <c r="D9" s="12"/>
      <c r="E9" s="12"/>
      <c r="F9" s="12"/>
      <c r="G9" s="12"/>
    </row>
    <row r="13" spans="1:7">
      <c r="A13" s="9" t="s">
        <v>96</v>
      </c>
    </row>
    <row r="14" spans="1:7">
      <c r="A14" s="11" t="s">
        <v>97</v>
      </c>
      <c r="B14" s="12">
        <f>CORREL(SpringfieldData[Duff_beers],SpringfieldData[Cigarettes_per_day])</f>
        <v>0.78602125546847601</v>
      </c>
    </row>
    <row r="15" spans="1:7">
      <c r="A15" s="11" t="s">
        <v>98</v>
      </c>
      <c r="B15" s="12"/>
    </row>
    <row r="21" spans="1:3">
      <c r="A21" s="24" t="s">
        <v>99</v>
      </c>
      <c r="B21" s="25"/>
      <c r="C21" s="26"/>
    </row>
    <row r="22" spans="1:3">
      <c r="A22" s="27" t="s">
        <v>100</v>
      </c>
      <c r="B22" s="28"/>
      <c r="C22" s="29"/>
    </row>
    <row r="23" spans="1:3">
      <c r="A23" s="27" t="s">
        <v>101</v>
      </c>
      <c r="B23" s="28"/>
      <c r="C23" s="29"/>
    </row>
    <row r="24" spans="1:3">
      <c r="A24" s="30"/>
      <c r="B24" s="31"/>
      <c r="C24" s="3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1AA77-8198-0748-9AC6-4B86D463C778}">
  <dimension ref="A1:A8"/>
  <sheetViews>
    <sheetView showGridLines="0" workbookViewId="0">
      <selection activeCell="J22" sqref="J22"/>
    </sheetView>
    <sheetView workbookViewId="1"/>
  </sheetViews>
  <sheetFormatPr defaultColWidth="11" defaultRowHeight="15.95"/>
  <sheetData>
    <row r="1" spans="1:1" s="8" customFormat="1" ht="27">
      <c r="A1" s="8" t="s">
        <v>102</v>
      </c>
    </row>
    <row r="4" spans="1:1">
      <c r="A4" s="13" t="s">
        <v>103</v>
      </c>
    </row>
    <row r="5" spans="1:1">
      <c r="A5" s="13" t="s">
        <v>104</v>
      </c>
    </row>
    <row r="6" spans="1:1">
      <c r="A6" s="13" t="s">
        <v>105</v>
      </c>
    </row>
    <row r="7" spans="1:1">
      <c r="A7" s="13" t="s">
        <v>106</v>
      </c>
    </row>
    <row r="8" spans="1:1">
      <c r="A8" s="13" t="s">
        <v>107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B508A-DAB3-F743-8F10-034EDDF2AF15}">
  <dimension ref="A1:A8"/>
  <sheetViews>
    <sheetView showGridLines="0" workbookViewId="0">
      <selection activeCell="F18" sqref="F18"/>
    </sheetView>
    <sheetView workbookViewId="1"/>
  </sheetViews>
  <sheetFormatPr defaultColWidth="11" defaultRowHeight="15.95"/>
  <sheetData>
    <row r="1" spans="1:1" s="8" customFormat="1" ht="27">
      <c r="A1" s="8" t="s">
        <v>108</v>
      </c>
    </row>
    <row r="4" spans="1:1">
      <c r="A4" s="13" t="s">
        <v>109</v>
      </c>
    </row>
    <row r="5" spans="1:1">
      <c r="A5" s="13" t="s">
        <v>110</v>
      </c>
    </row>
    <row r="6" spans="1:1">
      <c r="A6" s="13" t="s">
        <v>111</v>
      </c>
    </row>
    <row r="7" spans="1:1">
      <c r="A7" s="13" t="s">
        <v>112</v>
      </c>
    </row>
    <row r="8" spans="1:1">
      <c r="A8" s="13" t="s">
        <v>113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8BD63-7928-5240-A58B-311FCEA2A3DA}">
  <dimension ref="A1:L54"/>
  <sheetViews>
    <sheetView showGridLines="0" workbookViewId="0">
      <selection activeCell="I64" sqref="I64"/>
    </sheetView>
    <sheetView workbookViewId="1"/>
  </sheetViews>
  <sheetFormatPr defaultColWidth="11" defaultRowHeight="15.95"/>
  <cols>
    <col min="1" max="1" width="15" customWidth="1"/>
    <col min="2" max="4" width="15.875" customWidth="1"/>
    <col min="8" max="8" width="10.875" customWidth="1"/>
    <col min="9" max="9" width="15" bestFit="1" customWidth="1"/>
    <col min="10" max="13" width="15.875" customWidth="1"/>
  </cols>
  <sheetData>
    <row r="1" spans="1:12" s="8" customFormat="1" ht="27">
      <c r="A1" s="8" t="s">
        <v>114</v>
      </c>
    </row>
    <row r="4" spans="1:12">
      <c r="A4" t="s">
        <v>115</v>
      </c>
    </row>
    <row r="5" spans="1:12">
      <c r="A5" t="s">
        <v>116</v>
      </c>
    </row>
    <row r="6" spans="1:12">
      <c r="A6" t="s">
        <v>117</v>
      </c>
    </row>
    <row r="7" spans="1:12">
      <c r="A7" t="s">
        <v>118</v>
      </c>
    </row>
    <row r="12" spans="1:12">
      <c r="B12" s="16" t="s">
        <v>119</v>
      </c>
      <c r="C12" s="16" t="s">
        <v>120</v>
      </c>
      <c r="D12" s="16" t="s">
        <v>121</v>
      </c>
      <c r="J12" s="23" t="s">
        <v>122</v>
      </c>
      <c r="K12" s="23" t="s">
        <v>123</v>
      </c>
      <c r="L12" s="23" t="s">
        <v>124</v>
      </c>
    </row>
    <row r="13" spans="1:12">
      <c r="B13" s="12" cm="1">
        <f t="array" ref="B13:B24">_xlfn._xlws.FILTER(SpringfieldData[Productivity_score], SpringfieldData[Duff_level]="High")</f>
        <v>30</v>
      </c>
      <c r="C13" s="12" cm="1">
        <f t="array" ref="C13:C28">_xlfn._xlws.FILTER(SpringfieldData[Productivity_score], SpringfieldData[Duff_level]="Moderate")</f>
        <v>55</v>
      </c>
      <c r="D13" s="12" cm="1">
        <f t="array" ref="D13:D34">_xlfn._xlws.FILTER(SpringfieldData[Productivity_score], SpringfieldData[Duff_level]="Low")</f>
        <v>83</v>
      </c>
    </row>
    <row r="14" spans="1:12">
      <c r="B14" s="12">
        <v>34</v>
      </c>
      <c r="C14" s="12">
        <v>63</v>
      </c>
      <c r="D14" s="12">
        <v>36</v>
      </c>
    </row>
    <row r="15" spans="1:12">
      <c r="B15" s="12">
        <v>27</v>
      </c>
      <c r="C15" s="12">
        <v>84</v>
      </c>
      <c r="D15" s="12">
        <v>97</v>
      </c>
    </row>
    <row r="16" spans="1:12">
      <c r="B16" s="12">
        <v>30</v>
      </c>
      <c r="C16" s="12">
        <v>30</v>
      </c>
      <c r="D16" s="12">
        <v>98</v>
      </c>
    </row>
    <row r="17" spans="2:4">
      <c r="B17" s="12">
        <v>54</v>
      </c>
      <c r="C17" s="12">
        <v>60</v>
      </c>
      <c r="D17" s="12">
        <v>91</v>
      </c>
    </row>
    <row r="18" spans="2:4">
      <c r="B18" s="12">
        <v>30</v>
      </c>
      <c r="C18" s="12">
        <v>69</v>
      </c>
      <c r="D18" s="12">
        <v>98</v>
      </c>
    </row>
    <row r="19" spans="2:4">
      <c r="B19" s="12">
        <v>80</v>
      </c>
      <c r="C19" s="12">
        <v>67</v>
      </c>
      <c r="D19" s="12">
        <v>85</v>
      </c>
    </row>
    <row r="20" spans="2:4">
      <c r="B20" s="12">
        <v>35</v>
      </c>
      <c r="C20" s="12">
        <v>61</v>
      </c>
      <c r="D20" s="12">
        <v>82</v>
      </c>
    </row>
    <row r="21" spans="2:4">
      <c r="B21" s="12">
        <v>31</v>
      </c>
      <c r="C21" s="12">
        <v>67</v>
      </c>
      <c r="D21" s="12">
        <v>61</v>
      </c>
    </row>
    <row r="22" spans="2:4">
      <c r="B22" s="12">
        <v>30</v>
      </c>
      <c r="C22" s="12">
        <v>91</v>
      </c>
      <c r="D22" s="12">
        <v>31</v>
      </c>
    </row>
    <row r="23" spans="2:4">
      <c r="B23" s="12">
        <v>45</v>
      </c>
      <c r="C23" s="12">
        <v>65</v>
      </c>
      <c r="D23" s="12">
        <v>36</v>
      </c>
    </row>
    <row r="24" spans="2:4">
      <c r="B24" s="12">
        <v>29</v>
      </c>
      <c r="C24" s="12">
        <v>62</v>
      </c>
      <c r="D24" s="12">
        <v>89</v>
      </c>
    </row>
    <row r="25" spans="2:4">
      <c r="B25" s="12"/>
      <c r="C25" s="12">
        <v>55</v>
      </c>
      <c r="D25" s="12">
        <v>96</v>
      </c>
    </row>
    <row r="26" spans="2:4">
      <c r="B26" s="12"/>
      <c r="C26" s="12">
        <v>95</v>
      </c>
      <c r="D26" s="12">
        <v>97</v>
      </c>
    </row>
    <row r="27" spans="2:4">
      <c r="B27" s="12"/>
      <c r="C27" s="12">
        <v>62</v>
      </c>
      <c r="D27" s="12">
        <v>91</v>
      </c>
    </row>
    <row r="28" spans="2:4">
      <c r="B28" s="12"/>
      <c r="C28" s="12">
        <v>65</v>
      </c>
      <c r="D28" s="12">
        <v>89</v>
      </c>
    </row>
    <row r="29" spans="2:4">
      <c r="B29" s="12"/>
      <c r="C29" s="12"/>
      <c r="D29" s="12">
        <v>59</v>
      </c>
    </row>
    <row r="30" spans="2:4">
      <c r="B30" s="12"/>
      <c r="C30" s="12"/>
      <c r="D30" s="12">
        <v>93</v>
      </c>
    </row>
    <row r="31" spans="2:4">
      <c r="B31" s="12"/>
      <c r="C31" s="12"/>
      <c r="D31" s="12">
        <v>62</v>
      </c>
    </row>
    <row r="32" spans="2:4">
      <c r="B32" s="12"/>
      <c r="C32" s="12"/>
      <c r="D32" s="12">
        <v>92</v>
      </c>
    </row>
    <row r="33" spans="1:12">
      <c r="B33" s="12"/>
      <c r="C33" s="12"/>
      <c r="D33" s="12">
        <v>66</v>
      </c>
    </row>
    <row r="34" spans="1:12">
      <c r="B34" s="12"/>
      <c r="C34" s="12"/>
      <c r="D34" s="12">
        <v>97</v>
      </c>
    </row>
    <row r="38" spans="1:12">
      <c r="A38" s="17" t="s">
        <v>125</v>
      </c>
      <c r="B38" s="18"/>
      <c r="C38" s="18"/>
      <c r="D38" s="19"/>
    </row>
    <row r="39" spans="1:12">
      <c r="A39" s="20" t="s">
        <v>126</v>
      </c>
      <c r="B39" s="21" t="s">
        <v>119</v>
      </c>
      <c r="C39" s="21" t="s">
        <v>120</v>
      </c>
      <c r="D39" s="21" t="s">
        <v>121</v>
      </c>
    </row>
    <row r="40" spans="1:12">
      <c r="A40" s="12" t="s">
        <v>91</v>
      </c>
      <c r="B40" s="12">
        <f>AVERAGE(B13:B34)</f>
        <v>37.916666666666664</v>
      </c>
      <c r="C40" s="12">
        <f>AVERAGE(C13:C34)</f>
        <v>65.6875</v>
      </c>
      <c r="D40" s="12">
        <f>AVERAGE(D13:D34)</f>
        <v>78.590909090909093</v>
      </c>
    </row>
    <row r="41" spans="1:12">
      <c r="A41" s="12" t="s">
        <v>92</v>
      </c>
      <c r="B41" s="12">
        <f>MEDIAN(B13:B34)</f>
        <v>30.5</v>
      </c>
      <c r="C41" s="12">
        <f>MEDIAN(C13:C34)</f>
        <v>64</v>
      </c>
      <c r="D41" s="12">
        <f>MEDIAN(D13:D34)</f>
        <v>89</v>
      </c>
    </row>
    <row r="42" spans="1:12">
      <c r="A42" s="12" t="s">
        <v>93</v>
      </c>
      <c r="B42" s="12">
        <f>STDEV(B13:B34)</f>
        <v>15.376832238694996</v>
      </c>
      <c r="C42" s="12">
        <f>STDEV(C13:C34)</f>
        <v>15.146919378760378</v>
      </c>
      <c r="D42" s="12">
        <f>STDEV(D13:D34)</f>
        <v>21.90598763745415</v>
      </c>
    </row>
    <row r="44" spans="1:12">
      <c r="A44" s="22" t="s">
        <v>127</v>
      </c>
      <c r="B44" s="12">
        <f>_xlfn.T.TEST(B13:B34,C13:C34,2,2)</f>
        <v>6.1629465521790728E-5</v>
      </c>
    </row>
    <row r="45" spans="1:12">
      <c r="A45" s="22" t="s">
        <v>128</v>
      </c>
      <c r="B45" s="12">
        <f>_xlfn.T.TEST(C13:C34,D13:D34,2,2)</f>
        <v>5.0160777998798471E-2</v>
      </c>
    </row>
    <row r="47" spans="1:12">
      <c r="I47" s="17" t="s">
        <v>125</v>
      </c>
      <c r="J47" s="18"/>
      <c r="K47" s="18"/>
      <c r="L47" s="19"/>
    </row>
    <row r="48" spans="1:12">
      <c r="I48" s="20" t="s">
        <v>126</v>
      </c>
      <c r="J48" s="21" t="s">
        <v>122</v>
      </c>
      <c r="K48" s="21" t="s">
        <v>129</v>
      </c>
      <c r="L48" s="21" t="s">
        <v>124</v>
      </c>
    </row>
    <row r="49" spans="9:12">
      <c r="I49" s="12" t="s">
        <v>91</v>
      </c>
      <c r="J49" s="12"/>
      <c r="K49" s="12"/>
      <c r="L49" s="12"/>
    </row>
    <row r="50" spans="9:12">
      <c r="I50" s="12" t="s">
        <v>92</v>
      </c>
      <c r="J50" s="12"/>
      <c r="K50" s="12"/>
      <c r="L50" s="12"/>
    </row>
    <row r="51" spans="9:12">
      <c r="I51" s="12" t="s">
        <v>93</v>
      </c>
      <c r="J51" s="12"/>
      <c r="K51" s="12"/>
      <c r="L51" s="12"/>
    </row>
    <row r="53" spans="9:12">
      <c r="I53" s="22" t="s">
        <v>127</v>
      </c>
      <c r="J53" s="12"/>
    </row>
    <row r="54" spans="9:12">
      <c r="I54" s="22" t="s">
        <v>128</v>
      </c>
      <c r="J54" s="12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07479-5E21-6848-887A-690BF3B6DFDF}">
  <dimension ref="A1:C42"/>
  <sheetViews>
    <sheetView showGridLines="0" workbookViewId="0">
      <selection activeCell="K28" sqref="K28"/>
    </sheetView>
    <sheetView workbookViewId="1"/>
  </sheetViews>
  <sheetFormatPr defaultColWidth="11" defaultRowHeight="15.95"/>
  <cols>
    <col min="3" max="3" width="15.625" customWidth="1"/>
  </cols>
  <sheetData>
    <row r="1" spans="1:1" s="8" customFormat="1" ht="27">
      <c r="A1" s="8" t="s">
        <v>130</v>
      </c>
    </row>
    <row r="3" spans="1:1">
      <c r="A3" s="13" t="s">
        <v>131</v>
      </c>
    </row>
    <row r="4" spans="1:1">
      <c r="A4" s="13" t="s">
        <v>132</v>
      </c>
    </row>
    <row r="5" spans="1:1">
      <c r="A5" s="13" t="s">
        <v>133</v>
      </c>
    </row>
    <row r="6" spans="1:1">
      <c r="A6" s="13" t="s">
        <v>106</v>
      </c>
    </row>
    <row r="7" spans="1:1">
      <c r="A7" s="13" t="s">
        <v>107</v>
      </c>
    </row>
    <row r="40" spans="1:3">
      <c r="A40" s="24" t="s">
        <v>99</v>
      </c>
      <c r="B40" s="25"/>
      <c r="C40" s="26"/>
    </row>
    <row r="41" spans="1:3">
      <c r="A41" s="27" t="s">
        <v>134</v>
      </c>
      <c r="B41" s="28"/>
      <c r="C41" s="29"/>
    </row>
    <row r="42" spans="1:3">
      <c r="A42" s="30" t="s">
        <v>135</v>
      </c>
      <c r="B42" s="31"/>
      <c r="C42" s="32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A3B08-3E80-324C-B8A3-97A077BBBE12}">
  <dimension ref="A1:J15"/>
  <sheetViews>
    <sheetView showGridLines="0" workbookViewId="0">
      <selection activeCell="E4" sqref="E4"/>
    </sheetView>
    <sheetView workbookViewId="1"/>
  </sheetViews>
  <sheetFormatPr defaultColWidth="11" defaultRowHeight="15.95"/>
  <sheetData>
    <row r="1" spans="1:10" s="8" customFormat="1" ht="27">
      <c r="A1" s="8" t="s">
        <v>136</v>
      </c>
    </row>
    <row r="2" spans="1:10" ht="29.1" customHeight="1">
      <c r="A2" s="13" t="s">
        <v>137</v>
      </c>
    </row>
    <row r="6" spans="1:10">
      <c r="A6" s="34" t="s">
        <v>138</v>
      </c>
      <c r="B6" s="36" t="s">
        <v>17</v>
      </c>
      <c r="C6" s="36" t="s">
        <v>139</v>
      </c>
      <c r="D6" s="36" t="s">
        <v>140</v>
      </c>
      <c r="G6" s="34" t="s">
        <v>138</v>
      </c>
      <c r="H6" s="36" t="s">
        <v>141</v>
      </c>
      <c r="I6" s="36" t="s">
        <v>142</v>
      </c>
      <c r="J6" s="36" t="s">
        <v>140</v>
      </c>
    </row>
    <row r="7" spans="1:10">
      <c r="A7" s="14" t="s">
        <v>143</v>
      </c>
      <c r="B7" s="12">
        <f>COUNTIFS(Raw_Data!D:D, "&gt;=3", Raw_Data!J:J, 1)</f>
        <v>19</v>
      </c>
      <c r="C7" s="12">
        <f>COUNTIFS(Raw_Data!D:D, "&gt;=3", Raw_Data!J:J, 0)</f>
        <v>1</v>
      </c>
      <c r="D7" s="33">
        <f>SUM(B7:C7)</f>
        <v>20</v>
      </c>
      <c r="G7" s="14" t="s">
        <v>144</v>
      </c>
      <c r="H7" s="12"/>
      <c r="I7" s="12"/>
      <c r="J7" s="33">
        <f>SUM(H7:I7)</f>
        <v>0</v>
      </c>
    </row>
    <row r="8" spans="1:10">
      <c r="A8" s="14" t="s">
        <v>145</v>
      </c>
      <c r="B8" s="12">
        <f>COUNTIFS(Raw_Data!D:D, "&lt;3", Raw_Data!J:J, 1)</f>
        <v>9</v>
      </c>
      <c r="C8" s="12">
        <f>COUNTIFS(Raw_Data!D:D, "&lt;3", Raw_Data!J:J, 0)</f>
        <v>21</v>
      </c>
      <c r="D8" s="33">
        <f>SUM(B8:C8)</f>
        <v>30</v>
      </c>
      <c r="G8" s="14" t="s">
        <v>145</v>
      </c>
      <c r="H8" s="12"/>
      <c r="I8" s="12"/>
      <c r="J8" s="33">
        <f>SUM(H8:I8)</f>
        <v>0</v>
      </c>
    </row>
    <row r="9" spans="1:10">
      <c r="A9" s="14" t="s">
        <v>140</v>
      </c>
      <c r="B9" s="33">
        <f>SUM(B7:B8)</f>
        <v>28</v>
      </c>
      <c r="C9" s="33">
        <f>SUM(C7:C8)</f>
        <v>22</v>
      </c>
      <c r="D9" s="33">
        <f>SUM(B9:C9)</f>
        <v>50</v>
      </c>
      <c r="G9" s="14" t="s">
        <v>140</v>
      </c>
      <c r="H9" s="33">
        <f>SUM(H7:H8)</f>
        <v>0</v>
      </c>
      <c r="I9" s="33">
        <f>SUM(I7:I8)</f>
        <v>0</v>
      </c>
      <c r="J9" s="33">
        <f>SUM(H9:I9)</f>
        <v>0</v>
      </c>
    </row>
    <row r="12" spans="1:10">
      <c r="A12" s="37" t="s">
        <v>146</v>
      </c>
      <c r="B12" s="35"/>
      <c r="C12" s="38" t="s">
        <v>147</v>
      </c>
      <c r="D12" s="22"/>
      <c r="G12" s="37" t="s">
        <v>146</v>
      </c>
      <c r="H12" s="35"/>
      <c r="I12" s="38" t="s">
        <v>147</v>
      </c>
      <c r="J12" s="22"/>
    </row>
    <row r="13" spans="1:10">
      <c r="A13" s="35" t="str">
        <f>A7</f>
        <v>Duff &gt;=3</v>
      </c>
      <c r="B13" s="39">
        <f>B7/D7</f>
        <v>0.95</v>
      </c>
      <c r="C13" s="40" t="str">
        <f>A7</f>
        <v>Duff &gt;=3</v>
      </c>
      <c r="D13" s="39">
        <f>B7/C7</f>
        <v>19</v>
      </c>
      <c r="G13" s="35" t="str">
        <f>G7</f>
        <v>Category</v>
      </c>
      <c r="H13" s="39" t="e">
        <f>H7/J7</f>
        <v>#DIV/0!</v>
      </c>
      <c r="I13" s="40" t="str">
        <f>G7</f>
        <v>Category</v>
      </c>
      <c r="J13" s="39" t="e">
        <f>H7/I7</f>
        <v>#DIV/0!</v>
      </c>
    </row>
    <row r="14" spans="1:10">
      <c r="A14" s="35" t="str">
        <f>A8</f>
        <v>Other</v>
      </c>
      <c r="B14" s="39">
        <f>B8/D8</f>
        <v>0.3</v>
      </c>
      <c r="C14" s="40" t="str">
        <f>A8</f>
        <v>Other</v>
      </c>
      <c r="D14" s="39">
        <f>B8/C8</f>
        <v>0.42857142857142855</v>
      </c>
      <c r="G14" s="35" t="str">
        <f>G8</f>
        <v>Other</v>
      </c>
      <c r="H14" s="39" t="e">
        <f>H8/J8</f>
        <v>#DIV/0!</v>
      </c>
      <c r="I14" s="40" t="str">
        <f>G8</f>
        <v>Other</v>
      </c>
      <c r="J14" s="39" t="e">
        <f>H8/I8</f>
        <v>#DIV/0!</v>
      </c>
    </row>
    <row r="15" spans="1:10">
      <c r="A15" s="35" t="s">
        <v>148</v>
      </c>
      <c r="B15" s="39">
        <f>B13/B14</f>
        <v>3.1666666666666665</v>
      </c>
      <c r="C15" s="40" t="s">
        <v>149</v>
      </c>
      <c r="D15" s="39">
        <f>D13/D14</f>
        <v>44.333333333333336</v>
      </c>
      <c r="G15" s="35" t="s">
        <v>148</v>
      </c>
      <c r="H15" s="39" t="e">
        <f>H13/H14</f>
        <v>#DIV/0!</v>
      </c>
      <c r="I15" s="40" t="s">
        <v>149</v>
      </c>
      <c r="J15" s="39" t="e">
        <f>J13/J14</f>
        <v>#DIV/0!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Fahad Al-Huda</dc:creator>
  <cp:keywords/>
  <dc:description/>
  <cp:lastModifiedBy/>
  <cp:revision/>
  <dcterms:created xsi:type="dcterms:W3CDTF">2026-04-01T08:53:56Z</dcterms:created>
  <dcterms:modified xsi:type="dcterms:W3CDTF">2026-04-01T11:41:13Z</dcterms:modified>
  <cp:category/>
  <cp:contentStatus/>
</cp:coreProperties>
</file>